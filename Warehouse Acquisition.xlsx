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valeria/Desktop/"/>
    </mc:Choice>
  </mc:AlternateContent>
  <xr:revisionPtr revIDLastSave="0" documentId="13_ncr:1_{1477BEF5-F569-934A-BC3D-17FD231733CD}" xr6:coauthVersionLast="47" xr6:coauthVersionMax="47" xr10:uidLastSave="{00000000-0000-0000-0000-000000000000}"/>
  <bookViews>
    <workbookView xWindow="-40" yWindow="1300" windowWidth="29400" windowHeight="17080" xr2:uid="{00000000-000D-0000-FFFF-FFFF00000000}"/>
  </bookViews>
  <sheets>
    <sheet name="Inputs" sheetId="1" r:id="rId1"/>
    <sheet name="Summary" sheetId="2" r:id="rId2"/>
    <sheet name="PF Client 130K" sheetId="3" r:id="rId3"/>
    <sheet name="PF Alt 70 LTV" sheetId="4" r:id="rId4"/>
    <sheet name="Rent Schedule" sheetId="6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3" l="1"/>
  <c r="B9" i="6"/>
  <c r="B8" i="6"/>
  <c r="B7" i="6"/>
  <c r="B6" i="6"/>
  <c r="B5" i="6"/>
  <c r="B18" i="6"/>
  <c r="C18" i="6"/>
  <c r="D18" i="6"/>
  <c r="J18" i="6"/>
  <c r="B19" i="6"/>
  <c r="C19" i="6"/>
  <c r="D19" i="6"/>
  <c r="F19" i="6"/>
  <c r="H19" i="6"/>
  <c r="J19" i="6"/>
  <c r="B20" i="6"/>
  <c r="C20" i="6"/>
  <c r="H20" i="6" s="1"/>
  <c r="I20" i="6" s="1"/>
  <c r="K20" i="6" s="1"/>
  <c r="F20" i="6"/>
  <c r="J20" i="6"/>
  <c r="B21" i="6"/>
  <c r="C21" i="6"/>
  <c r="D21" i="6"/>
  <c r="F21" i="6"/>
  <c r="J21" i="6"/>
  <c r="B22" i="6"/>
  <c r="C22" i="6"/>
  <c r="D22" i="6"/>
  <c r="F22" i="6"/>
  <c r="J22" i="6"/>
  <c r="B23" i="6"/>
  <c r="C23" i="6"/>
  <c r="D23" i="6"/>
  <c r="E23" i="6" s="1"/>
  <c r="F23" i="6"/>
  <c r="H23" i="6"/>
  <c r="I23" i="6" s="1"/>
  <c r="J23" i="6"/>
  <c r="B24" i="6"/>
  <c r="C24" i="6"/>
  <c r="H24" i="6" s="1"/>
  <c r="I24" i="6" s="1"/>
  <c r="D24" i="6"/>
  <c r="E24" i="6" s="1"/>
  <c r="G24" i="6" s="1"/>
  <c r="F24" i="6"/>
  <c r="J24" i="6"/>
  <c r="B25" i="6"/>
  <c r="C25" i="6"/>
  <c r="D25" i="6"/>
  <c r="E25" i="6" s="1"/>
  <c r="F25" i="6"/>
  <c r="H25" i="6"/>
  <c r="I25" i="6" s="1"/>
  <c r="J25" i="6"/>
  <c r="B26" i="6"/>
  <c r="C26" i="6"/>
  <c r="H26" i="6" s="1"/>
  <c r="I26" i="6" s="1"/>
  <c r="D26" i="6"/>
  <c r="E26" i="6" s="1"/>
  <c r="F26" i="6"/>
  <c r="J26" i="6"/>
  <c r="B27" i="6"/>
  <c r="C27" i="6"/>
  <c r="D27" i="6"/>
  <c r="E27" i="6" s="1"/>
  <c r="G27" i="6" s="1"/>
  <c r="F27" i="6"/>
  <c r="H27" i="6"/>
  <c r="I27" i="6" s="1"/>
  <c r="K27" i="6" s="1"/>
  <c r="J27" i="6"/>
  <c r="B28" i="6"/>
  <c r="C28" i="6"/>
  <c r="H28" i="6" s="1"/>
  <c r="I28" i="6" s="1"/>
  <c r="D28" i="6"/>
  <c r="E28" i="6" s="1"/>
  <c r="F28" i="6"/>
  <c r="J28" i="6"/>
  <c r="B29" i="6"/>
  <c r="C29" i="6"/>
  <c r="D29" i="6"/>
  <c r="E29" i="6" s="1"/>
  <c r="F29" i="6"/>
  <c r="H29" i="6"/>
  <c r="I29" i="6" s="1"/>
  <c r="J29" i="6"/>
  <c r="B30" i="6"/>
  <c r="C30" i="6"/>
  <c r="H30" i="6" s="1"/>
  <c r="I30" i="6" s="1"/>
  <c r="D30" i="6"/>
  <c r="E30" i="6"/>
  <c r="F30" i="6"/>
  <c r="J30" i="6"/>
  <c r="B31" i="6"/>
  <c r="C31" i="6"/>
  <c r="D31" i="6"/>
  <c r="E31" i="6" s="1"/>
  <c r="F31" i="6"/>
  <c r="H31" i="6"/>
  <c r="I31" i="6" s="1"/>
  <c r="J31" i="6"/>
  <c r="B32" i="6"/>
  <c r="C32" i="6"/>
  <c r="H32" i="6" s="1"/>
  <c r="I32" i="6" s="1"/>
  <c r="D32" i="6"/>
  <c r="E32" i="6"/>
  <c r="F32" i="6"/>
  <c r="J32" i="6"/>
  <c r="B33" i="6"/>
  <c r="C33" i="6"/>
  <c r="D33" i="6"/>
  <c r="E33" i="6" s="1"/>
  <c r="F33" i="6"/>
  <c r="H33" i="6"/>
  <c r="I33" i="6" s="1"/>
  <c r="J33" i="6"/>
  <c r="B34" i="6"/>
  <c r="C34" i="6"/>
  <c r="H34" i="6" s="1"/>
  <c r="I34" i="6" s="1"/>
  <c r="D34" i="6"/>
  <c r="E34" i="6"/>
  <c r="F34" i="6"/>
  <c r="J34" i="6"/>
  <c r="B35" i="6"/>
  <c r="C35" i="6"/>
  <c r="D35" i="6"/>
  <c r="E35" i="6" s="1"/>
  <c r="F35" i="6"/>
  <c r="H35" i="6"/>
  <c r="I35" i="6" s="1"/>
  <c r="J35" i="6"/>
  <c r="B36" i="6"/>
  <c r="C36" i="6"/>
  <c r="H36" i="6" s="1"/>
  <c r="I36" i="6" s="1"/>
  <c r="D36" i="6"/>
  <c r="E36" i="6" s="1"/>
  <c r="F36" i="6"/>
  <c r="J36" i="6"/>
  <c r="B37" i="6"/>
  <c r="C37" i="6"/>
  <c r="D37" i="6"/>
  <c r="E37" i="6" s="1"/>
  <c r="G37" i="6" s="1"/>
  <c r="F37" i="6"/>
  <c r="H37" i="6"/>
  <c r="I37" i="6"/>
  <c r="J37" i="6"/>
  <c r="B38" i="6"/>
  <c r="C38" i="6"/>
  <c r="H38" i="6" s="1"/>
  <c r="I38" i="6" s="1"/>
  <c r="D38" i="6"/>
  <c r="E38" i="6" s="1"/>
  <c r="F38" i="6"/>
  <c r="J38" i="6"/>
  <c r="B39" i="6"/>
  <c r="C39" i="6"/>
  <c r="D39" i="6"/>
  <c r="E39" i="6" s="1"/>
  <c r="F39" i="6"/>
  <c r="H39" i="6"/>
  <c r="I39" i="6" s="1"/>
  <c r="J39" i="6"/>
  <c r="B40" i="6"/>
  <c r="C40" i="6"/>
  <c r="H40" i="6" s="1"/>
  <c r="I40" i="6" s="1"/>
  <c r="D40" i="6"/>
  <c r="E40" i="6" s="1"/>
  <c r="F40" i="6"/>
  <c r="J40" i="6"/>
  <c r="B41" i="6"/>
  <c r="C41" i="6"/>
  <c r="D41" i="6"/>
  <c r="E41" i="6" s="1"/>
  <c r="F41" i="6"/>
  <c r="H41" i="6"/>
  <c r="I41" i="6" s="1"/>
  <c r="J41" i="6"/>
  <c r="B42" i="6"/>
  <c r="C42" i="6"/>
  <c r="H42" i="6" s="1"/>
  <c r="I42" i="6" s="1"/>
  <c r="D42" i="6"/>
  <c r="E42" i="6" s="1"/>
  <c r="G42" i="6" s="1"/>
  <c r="F42" i="6"/>
  <c r="J42" i="6"/>
  <c r="B43" i="6"/>
  <c r="C43" i="6"/>
  <c r="D43" i="6"/>
  <c r="E43" i="6" s="1"/>
  <c r="F43" i="6"/>
  <c r="H43" i="6"/>
  <c r="I43" i="6" s="1"/>
  <c r="J43" i="6"/>
  <c r="B44" i="6"/>
  <c r="C44" i="6"/>
  <c r="H44" i="6" s="1"/>
  <c r="I44" i="6" s="1"/>
  <c r="D44" i="6"/>
  <c r="E44" i="6" s="1"/>
  <c r="F44" i="6"/>
  <c r="J44" i="6"/>
  <c r="B45" i="6"/>
  <c r="C45" i="6"/>
  <c r="D45" i="6"/>
  <c r="E45" i="6" s="1"/>
  <c r="F45" i="6"/>
  <c r="H45" i="6"/>
  <c r="I45" i="6" s="1"/>
  <c r="J45" i="6"/>
  <c r="B46" i="6"/>
  <c r="C46" i="6"/>
  <c r="H46" i="6" s="1"/>
  <c r="I46" i="6" s="1"/>
  <c r="D46" i="6"/>
  <c r="E46" i="6" s="1"/>
  <c r="F46" i="6"/>
  <c r="J46" i="6"/>
  <c r="B47" i="6"/>
  <c r="C47" i="6"/>
  <c r="D47" i="6"/>
  <c r="E47" i="6" s="1"/>
  <c r="F47" i="6"/>
  <c r="H47" i="6"/>
  <c r="I47" i="6" s="1"/>
  <c r="J47" i="6"/>
  <c r="B48" i="6"/>
  <c r="C48" i="6"/>
  <c r="D48" i="6"/>
  <c r="E48" i="6"/>
  <c r="F48" i="6"/>
  <c r="J48" i="6"/>
  <c r="B49" i="6"/>
  <c r="C49" i="6"/>
  <c r="D49" i="6"/>
  <c r="E49" i="6" s="1"/>
  <c r="F49" i="6"/>
  <c r="H49" i="6"/>
  <c r="I49" i="6"/>
  <c r="J49" i="6"/>
  <c r="B50" i="6"/>
  <c r="C50" i="6"/>
  <c r="H50" i="6" s="1"/>
  <c r="I50" i="6" s="1"/>
  <c r="D50" i="6"/>
  <c r="E50" i="6" s="1"/>
  <c r="F50" i="6"/>
  <c r="J50" i="6"/>
  <c r="B51" i="6"/>
  <c r="C51" i="6"/>
  <c r="D51" i="6"/>
  <c r="E51" i="6" s="1"/>
  <c r="F51" i="6"/>
  <c r="H51" i="6"/>
  <c r="I51" i="6" s="1"/>
  <c r="J51" i="6"/>
  <c r="B52" i="6"/>
  <c r="C52" i="6"/>
  <c r="H52" i="6" s="1"/>
  <c r="I52" i="6" s="1"/>
  <c r="D52" i="6"/>
  <c r="E52" i="6" s="1"/>
  <c r="F52" i="6"/>
  <c r="J52" i="6"/>
  <c r="B53" i="6"/>
  <c r="C53" i="6"/>
  <c r="D53" i="6"/>
  <c r="E53" i="6" s="1"/>
  <c r="F53" i="6"/>
  <c r="G53" i="6"/>
  <c r="H53" i="6"/>
  <c r="I53" i="6"/>
  <c r="J53" i="6"/>
  <c r="B67" i="6"/>
  <c r="D42" i="4"/>
  <c r="C42" i="4"/>
  <c r="B42" i="4"/>
  <c r="L55" i="4" s="1"/>
  <c r="B28" i="4"/>
  <c r="M14" i="4"/>
  <c r="L14" i="4"/>
  <c r="K14" i="4"/>
  <c r="J14" i="4"/>
  <c r="I14" i="4"/>
  <c r="H14" i="4"/>
  <c r="G14" i="4"/>
  <c r="F14" i="4"/>
  <c r="E14" i="4"/>
  <c r="D14" i="4"/>
  <c r="C14" i="4"/>
  <c r="M13" i="4"/>
  <c r="L13" i="4"/>
  <c r="K13" i="4"/>
  <c r="J13" i="4"/>
  <c r="I13" i="4"/>
  <c r="H13" i="4"/>
  <c r="G13" i="4"/>
  <c r="F13" i="4"/>
  <c r="E13" i="4"/>
  <c r="D13" i="4"/>
  <c r="C13" i="4"/>
  <c r="L12" i="4"/>
  <c r="I12" i="4"/>
  <c r="D12" i="4"/>
  <c r="M11" i="4"/>
  <c r="L11" i="4"/>
  <c r="L15" i="4" s="1"/>
  <c r="K11" i="4"/>
  <c r="J11" i="4"/>
  <c r="I11" i="4"/>
  <c r="I15" i="4" s="1"/>
  <c r="H11" i="4"/>
  <c r="G11" i="4"/>
  <c r="F11" i="4"/>
  <c r="E11" i="4"/>
  <c r="D11" i="4"/>
  <c r="D15" i="4" s="1"/>
  <c r="C11" i="4"/>
  <c r="M9" i="4"/>
  <c r="L9" i="4"/>
  <c r="J9" i="4"/>
  <c r="E9" i="4"/>
  <c r="D9" i="4"/>
  <c r="D16" i="4" s="1"/>
  <c r="M8" i="4"/>
  <c r="L8" i="4"/>
  <c r="K8" i="4"/>
  <c r="J8" i="4"/>
  <c r="I8" i="4"/>
  <c r="H8" i="4"/>
  <c r="G8" i="4"/>
  <c r="F8" i="4"/>
  <c r="E8" i="4"/>
  <c r="D8" i="4"/>
  <c r="C8" i="4"/>
  <c r="L7" i="4"/>
  <c r="K7" i="4"/>
  <c r="J7" i="4"/>
  <c r="I7" i="4"/>
  <c r="I9" i="4" s="1"/>
  <c r="I16" i="4" s="1"/>
  <c r="H7" i="4"/>
  <c r="D7" i="4"/>
  <c r="C7" i="4"/>
  <c r="M6" i="4"/>
  <c r="M7" i="4" s="1"/>
  <c r="L6" i="4"/>
  <c r="K6" i="4"/>
  <c r="K12" i="4" s="1"/>
  <c r="K15" i="4" s="1"/>
  <c r="J6" i="4"/>
  <c r="J12" i="4" s="1"/>
  <c r="I6" i="4"/>
  <c r="H6" i="4"/>
  <c r="G6" i="4"/>
  <c r="G7" i="4" s="1"/>
  <c r="G9" i="4" s="1"/>
  <c r="F6" i="4"/>
  <c r="E6" i="4"/>
  <c r="E7" i="4" s="1"/>
  <c r="D6" i="4"/>
  <c r="C6" i="4"/>
  <c r="L56" i="3"/>
  <c r="K56" i="3"/>
  <c r="A56" i="3"/>
  <c r="D42" i="3"/>
  <c r="C42" i="3"/>
  <c r="B42" i="3"/>
  <c r="B34" i="3"/>
  <c r="K19" i="3" s="1"/>
  <c r="B32" i="3"/>
  <c r="B28" i="3"/>
  <c r="M14" i="3"/>
  <c r="L14" i="3"/>
  <c r="K14" i="3"/>
  <c r="J14" i="3"/>
  <c r="I14" i="3"/>
  <c r="H14" i="3"/>
  <c r="G14" i="3"/>
  <c r="F14" i="3"/>
  <c r="E14" i="3"/>
  <c r="D14" i="3"/>
  <c r="C14" i="3"/>
  <c r="M13" i="3"/>
  <c r="L13" i="3"/>
  <c r="K13" i="3"/>
  <c r="J13" i="3"/>
  <c r="I13" i="3"/>
  <c r="H13" i="3"/>
  <c r="G13" i="3"/>
  <c r="F13" i="3"/>
  <c r="E13" i="3"/>
  <c r="D13" i="3"/>
  <c r="C13" i="3"/>
  <c r="L12" i="3"/>
  <c r="I12" i="3"/>
  <c r="D12" i="3"/>
  <c r="M11" i="3"/>
  <c r="L11" i="3"/>
  <c r="K11" i="3"/>
  <c r="J11" i="3"/>
  <c r="I11" i="3"/>
  <c r="H11" i="3"/>
  <c r="G11" i="3"/>
  <c r="F11" i="3"/>
  <c r="E11" i="3"/>
  <c r="D11" i="3"/>
  <c r="C11" i="3"/>
  <c r="D9" i="3"/>
  <c r="M8" i="3"/>
  <c r="L8" i="3"/>
  <c r="K8" i="3"/>
  <c r="J8" i="3"/>
  <c r="I8" i="3"/>
  <c r="H8" i="3"/>
  <c r="G8" i="3"/>
  <c r="F8" i="3"/>
  <c r="E8" i="3"/>
  <c r="D8" i="3"/>
  <c r="C8" i="3"/>
  <c r="L7" i="3"/>
  <c r="L9" i="3" s="1"/>
  <c r="J7" i="3"/>
  <c r="J9" i="3" s="1"/>
  <c r="I7" i="3"/>
  <c r="I9" i="3" s="1"/>
  <c r="H7" i="3"/>
  <c r="H12" i="3" s="1"/>
  <c r="H15" i="3" s="1"/>
  <c r="D7" i="3"/>
  <c r="C7" i="3"/>
  <c r="M6" i="3"/>
  <c r="L6" i="3"/>
  <c r="K6" i="3"/>
  <c r="J6" i="3"/>
  <c r="I6" i="3"/>
  <c r="H6" i="3"/>
  <c r="H9" i="3" s="1"/>
  <c r="G6" i="3"/>
  <c r="F6" i="3"/>
  <c r="F7" i="3" s="1"/>
  <c r="E6" i="3"/>
  <c r="D6" i="3"/>
  <c r="C6" i="3"/>
  <c r="G24" i="2"/>
  <c r="F24" i="2"/>
  <c r="E24" i="2"/>
  <c r="C24" i="2"/>
  <c r="B24" i="2"/>
  <c r="C11" i="2"/>
  <c r="B11" i="2"/>
  <c r="B7" i="2"/>
  <c r="C6" i="2"/>
  <c r="B21" i="1"/>
  <c r="B20" i="1"/>
  <c r="C19" i="1"/>
  <c r="C7" i="2" s="1"/>
  <c r="K24" i="6" l="1"/>
  <c r="L24" i="6" s="1"/>
  <c r="K51" i="6"/>
  <c r="K47" i="6"/>
  <c r="K46" i="6"/>
  <c r="K29" i="6"/>
  <c r="H21" i="6"/>
  <c r="I21" i="6" s="1"/>
  <c r="K21" i="6" s="1"/>
  <c r="L21" i="6" s="1"/>
  <c r="H22" i="6"/>
  <c r="I22" i="6" s="1"/>
  <c r="K22" i="6" s="1"/>
  <c r="D20" i="6"/>
  <c r="G32" i="6"/>
  <c r="G31" i="6"/>
  <c r="G46" i="6"/>
  <c r="K25" i="6"/>
  <c r="K36" i="6"/>
  <c r="K33" i="6"/>
  <c r="K52" i="6"/>
  <c r="K32" i="6"/>
  <c r="K28" i="6"/>
  <c r="K53" i="6"/>
  <c r="K37" i="6"/>
  <c r="K42" i="6"/>
  <c r="K38" i="6"/>
  <c r="G45" i="6"/>
  <c r="L45" i="6" s="1"/>
  <c r="G28" i="6"/>
  <c r="E21" i="6"/>
  <c r="G21" i="6" s="1"/>
  <c r="E18" i="6"/>
  <c r="G43" i="6"/>
  <c r="E22" i="6"/>
  <c r="G22" i="6" s="1"/>
  <c r="I19" i="6"/>
  <c r="K19" i="6" s="1"/>
  <c r="L19" i="6" s="1"/>
  <c r="B71" i="6" s="1"/>
  <c r="K49" i="6"/>
  <c r="I60" i="6" s="1"/>
  <c r="G38" i="6"/>
  <c r="L38" i="6" s="1"/>
  <c r="K41" i="6"/>
  <c r="K35" i="6"/>
  <c r="G29" i="6"/>
  <c r="G50" i="6"/>
  <c r="G49" i="6"/>
  <c r="K44" i="6"/>
  <c r="G40" i="6"/>
  <c r="G39" i="6"/>
  <c r="K31" i="6"/>
  <c r="I59" i="6" s="1"/>
  <c r="G30" i="6"/>
  <c r="G26" i="6"/>
  <c r="K23" i="6"/>
  <c r="L42" i="6"/>
  <c r="G52" i="6"/>
  <c r="G47" i="6"/>
  <c r="L47" i="6" s="1"/>
  <c r="G25" i="6"/>
  <c r="L25" i="6" s="1"/>
  <c r="K45" i="6"/>
  <c r="G44" i="6"/>
  <c r="G34" i="6"/>
  <c r="K34" i="6"/>
  <c r="K26" i="6"/>
  <c r="E19" i="6"/>
  <c r="G19" i="6" s="1"/>
  <c r="G41" i="6"/>
  <c r="K40" i="6"/>
  <c r="G36" i="6"/>
  <c r="G35" i="6"/>
  <c r="K30" i="6"/>
  <c r="G23" i="6"/>
  <c r="G48" i="6"/>
  <c r="K39" i="6"/>
  <c r="G33" i="6"/>
  <c r="G59" i="6" s="1"/>
  <c r="K50" i="6"/>
  <c r="G51" i="6"/>
  <c r="L51" i="6" s="1"/>
  <c r="K43" i="6"/>
  <c r="E20" i="6"/>
  <c r="G20" i="6" s="1"/>
  <c r="L20" i="6" s="1"/>
  <c r="J54" i="6"/>
  <c r="F18" i="6"/>
  <c r="G18" i="6" s="1"/>
  <c r="H48" i="6"/>
  <c r="I48" i="6" s="1"/>
  <c r="K48" i="6" s="1"/>
  <c r="C59" i="6"/>
  <c r="L27" i="6"/>
  <c r="L37" i="6"/>
  <c r="L53" i="6"/>
  <c r="L43" i="6"/>
  <c r="L29" i="6"/>
  <c r="F59" i="6"/>
  <c r="F60" i="6"/>
  <c r="E59" i="6"/>
  <c r="C58" i="6"/>
  <c r="H18" i="6"/>
  <c r="I18" i="6" s="1"/>
  <c r="E60" i="6"/>
  <c r="C60" i="6"/>
  <c r="H16" i="3"/>
  <c r="B43" i="3" s="1"/>
  <c r="B44" i="3" s="1"/>
  <c r="L16" i="3"/>
  <c r="L20" i="3"/>
  <c r="E7" i="3"/>
  <c r="E12" i="3"/>
  <c r="E15" i="3" s="1"/>
  <c r="M7" i="3"/>
  <c r="M12" i="3"/>
  <c r="M15" i="3" s="1"/>
  <c r="M9" i="3"/>
  <c r="C19" i="3"/>
  <c r="B37" i="3"/>
  <c r="B10" i="2" s="1"/>
  <c r="B30" i="3"/>
  <c r="F7" i="4"/>
  <c r="F9" i="4"/>
  <c r="F12" i="4"/>
  <c r="F15" i="4" s="1"/>
  <c r="G7" i="3"/>
  <c r="G12" i="3" s="1"/>
  <c r="G15" i="3" s="1"/>
  <c r="D15" i="3"/>
  <c r="D16" i="3" s="1"/>
  <c r="L15" i="3"/>
  <c r="F19" i="3"/>
  <c r="G20" i="3" s="1"/>
  <c r="B35" i="3"/>
  <c r="H9" i="4"/>
  <c r="G19" i="3"/>
  <c r="G15" i="4"/>
  <c r="G16" i="4" s="1"/>
  <c r="G12" i="4"/>
  <c r="C12" i="4"/>
  <c r="C15" i="4" s="1"/>
  <c r="L16" i="4"/>
  <c r="E19" i="3"/>
  <c r="B9" i="2"/>
  <c r="E9" i="3"/>
  <c r="E16" i="3" s="1"/>
  <c r="L55" i="3"/>
  <c r="K55" i="3"/>
  <c r="J55" i="3"/>
  <c r="I55" i="3"/>
  <c r="A55" i="3"/>
  <c r="F9" i="3"/>
  <c r="F12" i="3"/>
  <c r="F15" i="3" s="1"/>
  <c r="C12" i="3"/>
  <c r="C15" i="3" s="1"/>
  <c r="C9" i="3"/>
  <c r="K7" i="3"/>
  <c r="K12" i="3" s="1"/>
  <c r="K15" i="3" s="1"/>
  <c r="D24" i="2"/>
  <c r="A57" i="3"/>
  <c r="H55" i="3"/>
  <c r="M16" i="4"/>
  <c r="D43" i="4" s="1"/>
  <c r="D44" i="4" s="1"/>
  <c r="J15" i="4"/>
  <c r="J16" i="4" s="1"/>
  <c r="J19" i="3"/>
  <c r="H19" i="3"/>
  <c r="I20" i="3" s="1"/>
  <c r="I19" i="3"/>
  <c r="L19" i="3"/>
  <c r="D46" i="3" s="1"/>
  <c r="D26" i="2" s="1"/>
  <c r="D19" i="3"/>
  <c r="J12" i="3"/>
  <c r="J15" i="3" s="1"/>
  <c r="J16" i="3" s="1"/>
  <c r="C20" i="3"/>
  <c r="C21" i="1"/>
  <c r="B32" i="4" s="1"/>
  <c r="I15" i="3"/>
  <c r="I16" i="3" s="1"/>
  <c r="B31" i="3"/>
  <c r="B33" i="3" s="1"/>
  <c r="B29" i="3"/>
  <c r="B6" i="2"/>
  <c r="A56" i="4"/>
  <c r="C9" i="4"/>
  <c r="K9" i="4"/>
  <c r="K16" i="4" s="1"/>
  <c r="E12" i="4"/>
  <c r="E15" i="4" s="1"/>
  <c r="E16" i="4" s="1"/>
  <c r="M12" i="4"/>
  <c r="M15" i="4" s="1"/>
  <c r="K56" i="4"/>
  <c r="H55" i="4"/>
  <c r="L56" i="4"/>
  <c r="H12" i="4"/>
  <c r="H15" i="4" s="1"/>
  <c r="C43" i="4"/>
  <c r="C44" i="4" s="1"/>
  <c r="A55" i="4"/>
  <c r="I55" i="4"/>
  <c r="A57" i="4"/>
  <c r="B29" i="4"/>
  <c r="J55" i="4"/>
  <c r="K55" i="4"/>
  <c r="L52" i="6" l="1"/>
  <c r="L46" i="6"/>
  <c r="L31" i="6"/>
  <c r="L35" i="6"/>
  <c r="L36" i="6"/>
  <c r="E54" i="6"/>
  <c r="L32" i="6"/>
  <c r="L23" i="6"/>
  <c r="L22" i="6"/>
  <c r="L28" i="6"/>
  <c r="L41" i="6"/>
  <c r="L39" i="6"/>
  <c r="L40" i="6"/>
  <c r="G60" i="6"/>
  <c r="M60" i="6" s="1"/>
  <c r="L33" i="6"/>
  <c r="L49" i="6"/>
  <c r="L34" i="6"/>
  <c r="L50" i="6"/>
  <c r="E58" i="6"/>
  <c r="E61" i="6" s="1"/>
  <c r="M59" i="6"/>
  <c r="L44" i="6"/>
  <c r="L60" i="6" s="1"/>
  <c r="L26" i="6"/>
  <c r="L48" i="6"/>
  <c r="L30" i="6"/>
  <c r="C61" i="6"/>
  <c r="K18" i="6"/>
  <c r="L18" i="6" s="1"/>
  <c r="I54" i="6"/>
  <c r="F58" i="6"/>
  <c r="F61" i="6" s="1"/>
  <c r="F54" i="6"/>
  <c r="G58" i="6"/>
  <c r="G54" i="6"/>
  <c r="G25" i="2"/>
  <c r="D53" i="4"/>
  <c r="G33" i="2" s="1"/>
  <c r="D45" i="4"/>
  <c r="D22" i="3"/>
  <c r="J23" i="3"/>
  <c r="B53" i="3"/>
  <c r="B33" i="2" s="1"/>
  <c r="B45" i="3"/>
  <c r="B47" i="3" s="1"/>
  <c r="B25" i="2"/>
  <c r="F25" i="2"/>
  <c r="C53" i="4"/>
  <c r="F33" i="2" s="1"/>
  <c r="C45" i="4"/>
  <c r="F16" i="3"/>
  <c r="C16" i="4"/>
  <c r="E20" i="3"/>
  <c r="H20" i="3"/>
  <c r="K9" i="3"/>
  <c r="K16" i="3" s="1"/>
  <c r="B46" i="3"/>
  <c r="B26" i="2" s="1"/>
  <c r="G9" i="3"/>
  <c r="G16" i="3" s="1"/>
  <c r="D20" i="3"/>
  <c r="B30" i="4"/>
  <c r="B31" i="4" s="1"/>
  <c r="B33" i="4" s="1"/>
  <c r="B37" i="4"/>
  <c r="C10" i="2" s="1"/>
  <c r="B34" i="4"/>
  <c r="C9" i="2"/>
  <c r="C46" i="3"/>
  <c r="C26" i="2" s="1"/>
  <c r="K20" i="3"/>
  <c r="F20" i="3"/>
  <c r="H16" i="4"/>
  <c r="L18" i="3"/>
  <c r="L21" i="3" s="1"/>
  <c r="D18" i="3"/>
  <c r="D21" i="3" s="1"/>
  <c r="J18" i="3"/>
  <c r="K18" i="3"/>
  <c r="K21" i="3" s="1"/>
  <c r="C18" i="3"/>
  <c r="C21" i="3" s="1"/>
  <c r="F18" i="3"/>
  <c r="F21" i="3" s="1"/>
  <c r="I18" i="3"/>
  <c r="I21" i="3" s="1"/>
  <c r="H18" i="3"/>
  <c r="G18" i="3"/>
  <c r="G21" i="3" s="1"/>
  <c r="E18" i="3"/>
  <c r="E21" i="3" s="1"/>
  <c r="B12" i="2"/>
  <c r="B57" i="3"/>
  <c r="B55" i="3"/>
  <c r="B56" i="3"/>
  <c r="B8" i="2"/>
  <c r="J20" i="3"/>
  <c r="E22" i="3"/>
  <c r="C16" i="3"/>
  <c r="M16" i="3"/>
  <c r="D43" i="3" s="1"/>
  <c r="D44" i="3" s="1"/>
  <c r="H22" i="3"/>
  <c r="F16" i="4"/>
  <c r="L59" i="6" l="1"/>
  <c r="M18" i="6"/>
  <c r="M20" i="6"/>
  <c r="M22" i="6"/>
  <c r="M24" i="6"/>
  <c r="M26" i="6"/>
  <c r="M28" i="6"/>
  <c r="L54" i="6"/>
  <c r="B69" i="6" s="1"/>
  <c r="M19" i="6"/>
  <c r="M21" i="6"/>
  <c r="M23" i="6"/>
  <c r="M25" i="6"/>
  <c r="M27" i="6"/>
  <c r="M29" i="6"/>
  <c r="M31" i="6"/>
  <c r="M33" i="6"/>
  <c r="M35" i="6"/>
  <c r="M37" i="6"/>
  <c r="M39" i="6"/>
  <c r="M41" i="6"/>
  <c r="M43" i="6"/>
  <c r="M45" i="6"/>
  <c r="M47" i="6"/>
  <c r="M49" i="6"/>
  <c r="M51" i="6"/>
  <c r="M53" i="6"/>
  <c r="M36" i="6"/>
  <c r="M34" i="6"/>
  <c r="M32" i="6"/>
  <c r="M52" i="6"/>
  <c r="M40" i="6"/>
  <c r="M30" i="6"/>
  <c r="M46" i="6"/>
  <c r="M48" i="6"/>
  <c r="M38" i="6"/>
  <c r="M44" i="6"/>
  <c r="M50" i="6"/>
  <c r="M42" i="6"/>
  <c r="L58" i="6"/>
  <c r="L61" i="6" s="1"/>
  <c r="B65" i="6"/>
  <c r="B68" i="6"/>
  <c r="G61" i="6"/>
  <c r="B70" i="6"/>
  <c r="M58" i="6"/>
  <c r="M61" i="6"/>
  <c r="B64" i="6" s="1"/>
  <c r="K54" i="6"/>
  <c r="I58" i="6"/>
  <c r="I61" i="6" s="1"/>
  <c r="B66" i="6"/>
  <c r="B27" i="2"/>
  <c r="B57" i="4"/>
  <c r="B55" i="4"/>
  <c r="B56" i="4"/>
  <c r="C8" i="2"/>
  <c r="J24" i="3"/>
  <c r="J57" i="3"/>
  <c r="I23" i="3"/>
  <c r="E23" i="3"/>
  <c r="D23" i="3"/>
  <c r="B38" i="4"/>
  <c r="B36" i="4"/>
  <c r="C14" i="2" s="1"/>
  <c r="C13" i="2"/>
  <c r="J19" i="4"/>
  <c r="I19" i="4"/>
  <c r="H19" i="4"/>
  <c r="I20" i="4" s="1"/>
  <c r="G19" i="4"/>
  <c r="B35" i="4"/>
  <c r="F19" i="4"/>
  <c r="E19" i="4"/>
  <c r="F20" i="4" s="1"/>
  <c r="L19" i="4"/>
  <c r="D46" i="4" s="1"/>
  <c r="G26" i="2" s="1"/>
  <c r="D19" i="4"/>
  <c r="E20" i="4" s="1"/>
  <c r="K19" i="4"/>
  <c r="L20" i="4" s="1"/>
  <c r="C19" i="4"/>
  <c r="K22" i="3"/>
  <c r="C43" i="3"/>
  <c r="C44" i="3" s="1"/>
  <c r="K23" i="3"/>
  <c r="H21" i="3"/>
  <c r="D47" i="3"/>
  <c r="D25" i="2"/>
  <c r="D53" i="3"/>
  <c r="D33" i="2" s="1"/>
  <c r="D45" i="3"/>
  <c r="B43" i="4"/>
  <c r="B44" i="4" s="1"/>
  <c r="B38" i="3"/>
  <c r="C22" i="3"/>
  <c r="B15" i="2" s="1"/>
  <c r="B20" i="2" s="1"/>
  <c r="C23" i="3"/>
  <c r="B14" i="2"/>
  <c r="B13" i="2"/>
  <c r="L23" i="3"/>
  <c r="G23" i="3"/>
  <c r="G22" i="3"/>
  <c r="H23" i="3"/>
  <c r="F22" i="3"/>
  <c r="F23" i="3"/>
  <c r="L22" i="3"/>
  <c r="J21" i="3"/>
  <c r="J22" i="3"/>
  <c r="I22" i="3"/>
  <c r="H20" i="4" l="1"/>
  <c r="B46" i="4"/>
  <c r="E26" i="2" s="1"/>
  <c r="B39" i="4"/>
  <c r="C19" i="2" s="1"/>
  <c r="C18" i="2"/>
  <c r="D24" i="3"/>
  <c r="D56" i="3"/>
  <c r="D57" i="3"/>
  <c r="D55" i="3"/>
  <c r="D20" i="4"/>
  <c r="C20" i="4"/>
  <c r="B16" i="2"/>
  <c r="C24" i="3"/>
  <c r="C48" i="3"/>
  <c r="C28" i="2" s="1"/>
  <c r="B48" i="3"/>
  <c r="C56" i="3"/>
  <c r="D48" i="3"/>
  <c r="D28" i="2" s="1"/>
  <c r="C57" i="3"/>
  <c r="C55" i="3"/>
  <c r="J20" i="4"/>
  <c r="E56" i="3"/>
  <c r="E24" i="3"/>
  <c r="E55" i="3"/>
  <c r="E57" i="3"/>
  <c r="D27" i="2"/>
  <c r="K20" i="4"/>
  <c r="C46" i="4"/>
  <c r="I56" i="3"/>
  <c r="I24" i="3"/>
  <c r="I57" i="3"/>
  <c r="G24" i="3"/>
  <c r="G55" i="3"/>
  <c r="G57" i="3"/>
  <c r="G56" i="3"/>
  <c r="K24" i="3"/>
  <c r="K57" i="3"/>
  <c r="H24" i="3"/>
  <c r="H57" i="3"/>
  <c r="H56" i="3"/>
  <c r="G20" i="4"/>
  <c r="B39" i="3"/>
  <c r="B19" i="2" s="1"/>
  <c r="B18" i="2"/>
  <c r="B53" i="4"/>
  <c r="E33" i="2" s="1"/>
  <c r="B45" i="4"/>
  <c r="B47" i="4" s="1"/>
  <c r="E25" i="2"/>
  <c r="C45" i="3"/>
  <c r="C47" i="3" s="1"/>
  <c r="C53" i="3"/>
  <c r="C33" i="2" s="1"/>
  <c r="C25" i="2"/>
  <c r="F24" i="3"/>
  <c r="F56" i="3"/>
  <c r="F57" i="3"/>
  <c r="F55" i="3"/>
  <c r="L24" i="3"/>
  <c r="L57" i="3"/>
  <c r="L18" i="4"/>
  <c r="D18" i="4"/>
  <c r="K18" i="4"/>
  <c r="C18" i="4"/>
  <c r="J18" i="4"/>
  <c r="I18" i="4"/>
  <c r="H18" i="4"/>
  <c r="G18" i="4"/>
  <c r="F18" i="4"/>
  <c r="E18" i="4"/>
  <c r="C12" i="2"/>
  <c r="D47" i="4"/>
  <c r="C27" i="2" l="1"/>
  <c r="C49" i="3"/>
  <c r="C29" i="2" s="1"/>
  <c r="C50" i="3"/>
  <c r="C30" i="2" s="1"/>
  <c r="J56" i="3"/>
  <c r="C51" i="3" s="1"/>
  <c r="C31" i="2" s="1"/>
  <c r="E27" i="2"/>
  <c r="J21" i="4"/>
  <c r="J23" i="4"/>
  <c r="J22" i="4"/>
  <c r="G27" i="2"/>
  <c r="C21" i="4"/>
  <c r="C22" i="4"/>
  <c r="C15" i="2" s="1"/>
  <c r="C20" i="2" s="1"/>
  <c r="C23" i="4"/>
  <c r="D49" i="3"/>
  <c r="D29" i="2" s="1"/>
  <c r="K21" i="4"/>
  <c r="K22" i="4"/>
  <c r="K23" i="4"/>
  <c r="B28" i="2"/>
  <c r="B49" i="3"/>
  <c r="B29" i="2" s="1"/>
  <c r="B50" i="3"/>
  <c r="B30" i="2" s="1"/>
  <c r="E21" i="4"/>
  <c r="E23" i="4"/>
  <c r="E22" i="4"/>
  <c r="D21" i="4"/>
  <c r="D22" i="4"/>
  <c r="D23" i="4"/>
  <c r="F21" i="4"/>
  <c r="F23" i="4"/>
  <c r="F22" i="4"/>
  <c r="L21" i="4"/>
  <c r="L23" i="4"/>
  <c r="L22" i="4"/>
  <c r="F26" i="2"/>
  <c r="C47" i="4"/>
  <c r="B17" i="2"/>
  <c r="D52" i="3"/>
  <c r="D32" i="2" s="1"/>
  <c r="C52" i="3"/>
  <c r="C32" i="2" s="1"/>
  <c r="B52" i="3"/>
  <c r="B32" i="2" s="1"/>
  <c r="G21" i="4"/>
  <c r="G23" i="4"/>
  <c r="G22" i="4"/>
  <c r="H21" i="4"/>
  <c r="H23" i="4"/>
  <c r="H22" i="4"/>
  <c r="B51" i="3"/>
  <c r="B31" i="2" s="1"/>
  <c r="I21" i="4"/>
  <c r="I23" i="4"/>
  <c r="I22" i="4"/>
  <c r="D50" i="3"/>
  <c r="D30" i="2" s="1"/>
  <c r="D51" i="3"/>
  <c r="D31" i="2" s="1"/>
  <c r="F24" i="4" l="1"/>
  <c r="F55" i="4"/>
  <c r="F57" i="4"/>
  <c r="F56" i="4"/>
  <c r="C24" i="4"/>
  <c r="C16" i="2"/>
  <c r="C55" i="4"/>
  <c r="C48" i="4"/>
  <c r="F28" i="2" s="1"/>
  <c r="D48" i="4"/>
  <c r="C57" i="4"/>
  <c r="C56" i="4"/>
  <c r="B48" i="4"/>
  <c r="D24" i="4"/>
  <c r="D57" i="4"/>
  <c r="D55" i="4"/>
  <c r="D56" i="4"/>
  <c r="F27" i="2"/>
  <c r="K24" i="4"/>
  <c r="K57" i="4"/>
  <c r="G24" i="4"/>
  <c r="G57" i="4"/>
  <c r="G55" i="4"/>
  <c r="G56" i="4"/>
  <c r="I24" i="4"/>
  <c r="I56" i="4"/>
  <c r="I57" i="4"/>
  <c r="L24" i="4"/>
  <c r="L57" i="4"/>
  <c r="H24" i="4"/>
  <c r="H57" i="4"/>
  <c r="H56" i="4"/>
  <c r="E24" i="4"/>
  <c r="E55" i="4"/>
  <c r="E57" i="4"/>
  <c r="E56" i="4"/>
  <c r="J24" i="4"/>
  <c r="J56" i="4"/>
  <c r="J57" i="4"/>
  <c r="E28" i="2" l="1"/>
  <c r="B49" i="4"/>
  <c r="E29" i="2" s="1"/>
  <c r="B50" i="4"/>
  <c r="E30" i="2" s="1"/>
  <c r="C51" i="4"/>
  <c r="F31" i="2" s="1"/>
  <c r="B51" i="4"/>
  <c r="E31" i="2" s="1"/>
  <c r="C17" i="2"/>
  <c r="D52" i="4"/>
  <c r="G32" i="2" s="1"/>
  <c r="B52" i="4"/>
  <c r="E32" i="2" s="1"/>
  <c r="C52" i="4"/>
  <c r="F32" i="2" s="1"/>
  <c r="C50" i="4"/>
  <c r="F30" i="2" s="1"/>
  <c r="D51" i="4"/>
  <c r="G31" i="2" s="1"/>
  <c r="C49" i="4"/>
  <c r="F29" i="2" s="1"/>
  <c r="G28" i="2"/>
  <c r="D49" i="4"/>
  <c r="G29" i="2" s="1"/>
  <c r="D50" i="4"/>
  <c r="G30" i="2" s="1"/>
</calcChain>
</file>

<file path=xl/sharedStrings.xml><?xml version="1.0" encoding="utf-8"?>
<sst xmlns="http://schemas.openxmlformats.org/spreadsheetml/2006/main" count="255" uniqueCount="183">
  <si>
    <t>Industrial Warehouse Acquisition - Inputs &amp; Assumptions</t>
  </si>
  <si>
    <t>PROPERTY &amp; LEASE (NNN)</t>
  </si>
  <si>
    <t>Purchase price ($)</t>
  </si>
  <si>
    <t>Listing price per client ($270,000)</t>
  </si>
  <si>
    <t>Building size (SF)</t>
  </si>
  <si>
    <t>Per client (2,016 SF)</t>
  </si>
  <si>
    <t>Base rent ($/SF/yr)</t>
  </si>
  <si>
    <t>Per client</t>
  </si>
  <si>
    <t>NNN charges ($/SF/yr)</t>
  </si>
  <si>
    <t>Per client (taxes, insurance, CAM paid by tenant)</t>
  </si>
  <si>
    <t>Annual base rent growth</t>
  </si>
  <si>
    <t>Per client (3.5% annual escalation)</t>
  </si>
  <si>
    <t>Annual expense growth (NNN &amp; other)</t>
  </si>
  <si>
    <t>ASSUMPTION</t>
  </si>
  <si>
    <t>Vacancy / credit loss (on base rent)</t>
  </si>
  <si>
    <t>NNN recovery rate</t>
  </si>
  <si>
    <t>ASSUMPTION - 100% = tenant reimburses all NNN expenses</t>
  </si>
  <si>
    <t>Property mgmt fee (% of effective base rent)</t>
  </si>
  <si>
    <t>Non-recoverable expenses ($/SF/yr)</t>
  </si>
  <si>
    <t>ASSUMPTION - landlord legal/admin/accounting</t>
  </si>
  <si>
    <t>Capital / roof reserve ($/SF/yr)</t>
  </si>
  <si>
    <t>ASSUMPTION - landlord-responsible structure &amp; roof</t>
  </si>
  <si>
    <t>Acquisition closing costs (% of price)</t>
  </si>
  <si>
    <t>ASSUMPTION - title, legal, survey, Phase I, inspections, FL doc stamps on mortgage/intangible tax are in loan costs</t>
  </si>
  <si>
    <t>FINANCING SCENARIOS</t>
  </si>
  <si>
    <t>Client $130K Down</t>
  </si>
  <si>
    <t>Alt: 70% LTV</t>
  </si>
  <si>
    <t>Down payment ($)</t>
  </si>
  <si>
    <t>Client column = the $130,000 down payment provided (about 43% down). Alt column = typical max bank leverage, for comparison</t>
  </si>
  <si>
    <t>Loan-to-value (LTV)</t>
  </si>
  <si>
    <t>Banks typically lend 65-75% LTV on investment industrial (ASSUMPTION for Alt column)</t>
  </si>
  <si>
    <t>Loan amount ($)</t>
  </si>
  <si>
    <t>Interest rate (fixed)</t>
  </si>
  <si>
    <t>ASSUMPTION - approx. commercial fixed rate for Central FL; get live lender quotes</t>
  </si>
  <si>
    <t>Amortization (years)</t>
  </si>
  <si>
    <t>Typical commercial: 20-25 yr amortization, 5-10 yr term</t>
  </si>
  <si>
    <t>Loan term / balloon (years)</t>
  </si>
  <si>
    <t>Origination fee (% of loan)</t>
  </si>
  <si>
    <t>Other lender / third-party costs ($)</t>
  </si>
  <si>
    <t>Minimum DSCR required by lender</t>
  </si>
  <si>
    <t>Typical bank covenant 1.20x-1.25x</t>
  </si>
  <si>
    <t>EXIT / HOLD PERIODS</t>
  </si>
  <si>
    <t>Exit (terminal) cap rate</t>
  </si>
  <si>
    <t>Selling costs (% of sale price)</t>
  </si>
  <si>
    <t>ASSUMPTION - broker ~2.5% + FL deed doc stamps 0.70% + legal</t>
  </si>
  <si>
    <t>Hold period 1 (years)</t>
  </si>
  <si>
    <t>Hold period 2 (years)</t>
  </si>
  <si>
    <t>Hold period 3 (years)</t>
  </si>
  <si>
    <t>Per client (max 10)</t>
  </si>
  <si>
    <t>Industrial Warehouse Acquisition - NNN Buy &amp; Hold Summary</t>
  </si>
  <si>
    <t>DEAL &amp; FINANCING</t>
  </si>
  <si>
    <t>Purchase price</t>
  </si>
  <si>
    <t>Down payment</t>
  </si>
  <si>
    <t>Total equity required (incl. costs)</t>
  </si>
  <si>
    <t>Loan amount</t>
  </si>
  <si>
    <t>Loan-to-value</t>
  </si>
  <si>
    <t>Interest rate</t>
  </si>
  <si>
    <t>Annual debt service</t>
  </si>
  <si>
    <t>Year-1 NOI</t>
  </si>
  <si>
    <t>Going-in cap rate</t>
  </si>
  <si>
    <t>Year-1 DSCR</t>
  </si>
  <si>
    <t>Year-1 cash flow after debt</t>
  </si>
  <si>
    <t>Year-1 cash-on-cash</t>
  </si>
  <si>
    <t>Max loan at lender min DSCR</t>
  </si>
  <si>
    <t>Max LTV at lender min DSCR</t>
  </si>
  <si>
    <t>Meets lender min DSCR in Year 1?</t>
  </si>
  <si>
    <t>RETURNS BY HOLD PERIOD (SALE AT END OF HOLD)</t>
  </si>
  <si>
    <t>Hold period (years)</t>
  </si>
  <si>
    <t>Gross sale price</t>
  </si>
  <si>
    <t>Loan payoff</t>
  </si>
  <si>
    <t>Net sale proceeds to equity</t>
  </si>
  <si>
    <t>Cumulative cash flow during hold</t>
  </si>
  <si>
    <t>Total profit</t>
  </si>
  <si>
    <t>Equity multiple</t>
  </si>
  <si>
    <t>Levered IRR (pre-tax)</t>
  </si>
  <si>
    <t>Average cash-on-cash</t>
  </si>
  <si>
    <t>Total price appreciation</t>
  </si>
  <si>
    <t>KEY TAKEAWAYS / FLAGS</t>
  </si>
  <si>
    <t>2) Primary scenario: client's $130,000 down payment (about 43% down) with standard Central FL terms: 6.75% fixed, 25-yr amortization, 10-yr term. Alt scenario shows 70% LTV for comparison.</t>
  </si>
  <si>
    <t>4) Sale price = Year N+1 NOI / exit cap. Pre-tax: excludes depreciation, cap-gains, depreciation recapture and 1031 exchange effects.</t>
  </si>
  <si>
    <t>ANNUAL CASH FLOW</t>
  </si>
  <si>
    <t>Year</t>
  </si>
  <si>
    <t>Base rent</t>
  </si>
  <si>
    <t>Less: vacancy / credit loss</t>
  </si>
  <si>
    <t>NNN reimbursements</t>
  </si>
  <si>
    <t>Effective gross income</t>
  </si>
  <si>
    <t>NNN operating expenses (taxes, ins., CAM)</t>
  </si>
  <si>
    <t>Property management fee</t>
  </si>
  <si>
    <t>Non-recoverable expenses</t>
  </si>
  <si>
    <t>Capital / roof reserve</t>
  </si>
  <si>
    <t>Total operating expenses</t>
  </si>
  <si>
    <t>Net operating income (NOI)</t>
  </si>
  <si>
    <t>Loan balance (end of year)</t>
  </si>
  <si>
    <t xml:space="preserve">  Principal paid</t>
  </si>
  <si>
    <t xml:space="preserve">  Interest paid</t>
  </si>
  <si>
    <t>Debt service coverage ratio (DSCR)</t>
  </si>
  <si>
    <t>Cash flow after debt service (pre-tax)</t>
  </si>
  <si>
    <t>Cash-on-cash return</t>
  </si>
  <si>
    <t>ACQUISITION, FINANCING &amp; EQUITY</t>
  </si>
  <si>
    <t>Closing costs</t>
  </si>
  <si>
    <t>Loan origination &amp; lender costs</t>
  </si>
  <si>
    <t>Total uses of funds</t>
  </si>
  <si>
    <t>Total equity required (cash to close)</t>
  </si>
  <si>
    <t>Monthly payment (P&amp;I)</t>
  </si>
  <si>
    <t>Going-in cap rate (Yr-1 NOI / price)</t>
  </si>
  <si>
    <t>Max loan supported at lender min DSCR</t>
  </si>
  <si>
    <t>Max LTV supported at lender min DSCR</t>
  </si>
  <si>
    <t>SALE ANALYSIS BY HOLD PERIOD</t>
  </si>
  <si>
    <t>Hold period</t>
  </si>
  <si>
    <t>Forward NOI (Year N+1)</t>
  </si>
  <si>
    <t>Gross sale price (Fwd NOI / exit cap)</t>
  </si>
  <si>
    <t>Less: selling costs</t>
  </si>
  <si>
    <t>Less: loan payoff</t>
  </si>
  <si>
    <t>Total profit (net of equity invested)</t>
  </si>
  <si>
    <t>Equity cash flows (for IRR)</t>
  </si>
  <si>
    <t>Alternative Scenario (70% LTV) - 11-Year Pro Forma &amp; Returns</t>
  </si>
  <si>
    <t>ASSUMPTION - reserve for single tenant</t>
  </si>
  <si>
    <t>Blue = editable input | Black = formula | Yellow fill = assumption not provided by client</t>
  </si>
  <si>
    <t xml:space="preserve"> Pre-tax. Only Change assumptions on the Inputs tab.</t>
  </si>
  <si>
    <t>Client Scenario ($130K Down) -Pro Forma &amp; Returns</t>
  </si>
  <si>
    <t xml:space="preserve">1) Price ($270,000), size (2,016 SQFT), rent, NNN and 3.5% rent escalation are per client. Expense growth, expenses, rate, exit cap and closing costs are ASSUMPTIONS (yellow on Inputs) - lender information provided expected to change </t>
  </si>
  <si>
    <t>$130K 5-YR</t>
  </si>
  <si>
    <t>$130K 8-YR</t>
  </si>
  <si>
    <t>$130K 10-YR</t>
  </si>
  <si>
    <t>70% LTV 5-YR</t>
  </si>
  <si>
    <t>70% LTV 8-YR</t>
  </si>
  <si>
    <t>70% LTV 10-YR</t>
  </si>
  <si>
    <t>First month with full rent</t>
  </si>
  <si>
    <t>Monthly rent due, Month 2 (base + NNN) ($)</t>
  </si>
  <si>
    <t>Pro forma tabs do not deduct the free month; negative = Year-1 income overstated by this amount</t>
  </si>
  <si>
    <t>Year-1 net base rent vs. pro forma Year-1 base rent ($)</t>
  </si>
  <si>
    <t>Total rent + NNN received over term ($)</t>
  </si>
  <si>
    <t>Abatement + TI</t>
  </si>
  <si>
    <t>Total landlord concessions ($)</t>
  </si>
  <si>
    <t>Landlord cost; none per client</t>
  </si>
  <si>
    <t>Tenant improvement allowance ($)</t>
  </si>
  <si>
    <t>Free rent as % of scheduled base rent</t>
  </si>
  <si>
    <t>Base rent forgone in abatement period</t>
  </si>
  <si>
    <t>Free rent value ($)</t>
  </si>
  <si>
    <t>Effective rent after free-rent abatement</t>
  </si>
  <si>
    <t>Average net base rent over term ($/SF/yr)</t>
  </si>
  <si>
    <t>KEY LEASE METRICS</t>
  </si>
  <si>
    <t>Lease term total</t>
  </si>
  <si>
    <t>Net Base Rent $/SF/yr</t>
  </si>
  <si>
    <t>Total Due from Tenant</t>
  </si>
  <si>
    <t>NNN Charges (net)</t>
  </si>
  <si>
    <t>Net Base Rent</t>
  </si>
  <si>
    <t>Rent Abatement</t>
  </si>
  <si>
    <t>Scheduled Base Rent</t>
  </si>
  <si>
    <t>Months</t>
  </si>
  <si>
    <t>Lease Year</t>
  </si>
  <si>
    <t>ANNUAL SUMMARY</t>
  </si>
  <si>
    <t>Total</t>
  </si>
  <si>
    <t>Cumulative Cash Received</t>
  </si>
  <si>
    <t>Net NNN</t>
  </si>
  <si>
    <t>NNN Abatement</t>
  </si>
  <si>
    <t>NNN Charges</t>
  </si>
  <si>
    <t>NNN $/SF/yr</t>
  </si>
  <si>
    <t>Base Rent $/SF/yr</t>
  </si>
  <si>
    <t>Date</t>
  </si>
  <si>
    <t>Month</t>
  </si>
  <si>
    <t>MONTHLY RENT SCHEDULE</t>
  </si>
  <si>
    <t>Per client: none</t>
  </si>
  <si>
    <t>ASSUMPTION - 0 = tenant still pays NNN charges during free rent</t>
  </si>
  <si>
    <t>NNN also abated during free months? (1 = yes, 0 = no)</t>
  </si>
  <si>
    <t>Per client: 1 month free, applied to the first month(s) of the term</t>
  </si>
  <si>
    <t>Free rent / abatement (months)</t>
  </si>
  <si>
    <t>Per client: 3 years (schedule supports up to 36 months)</t>
  </si>
  <si>
    <t>Lease term (months)</t>
  </si>
  <si>
    <t>Lease start date</t>
  </si>
  <si>
    <t>Inputs tab; applied each lease anniversary</t>
  </si>
  <si>
    <t>Annual NNN expense growth</t>
  </si>
  <si>
    <t>Annual base rent escalation</t>
  </si>
  <si>
    <t>Inputs tab</t>
  </si>
  <si>
    <t>NNN charges ($/SF/yr, Year 1)</t>
  </si>
  <si>
    <t>Base rent ($/SF/yr, Year 1)</t>
  </si>
  <si>
    <t>LEASE TERMS</t>
  </si>
  <si>
    <t xml:space="preserve">ASSUMPTION </t>
  </si>
  <si>
    <t>Blue = lease input | Green = linked from Inputs tab | Black = formula | Yellow fill = assumption. Any changes must be made on assumptions tab</t>
  </si>
  <si>
    <t>Hypothetical Lease Rent Schedule - for a 3-Year min NNN Lease</t>
  </si>
  <si>
    <t>3) viewed DSCR line with the lender's 1.25x minimum; 'Max loan at lender min DSCR' shows the loan size the income supports.</t>
  </si>
  <si>
    <t>Notes: Analysis is pre-income-tax (no depreciation / 1031 / cap-gains modeling). Client must review with a CPA &amp; lender.</t>
  </si>
  <si>
    <t xml:space="preserve">ASSUMPTION - applied to Year N+1 NOI; set slightly above going-in cap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</si>
</sst>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\$#,##0;\(\$#,##0\);\-"/>
    <numFmt numFmtId="166" formatCode="0.00%;\(0.00%\);\-"/>
    <numFmt numFmtId="167" formatCode="0.00&quot;x&quot;"/>
    <numFmt numFmtId="168" formatCode="0&quot; yrs&quot;"/>
    <numFmt numFmtId="169" formatCode="0.0%"/>
    <numFmt numFmtId="170" formatCode="mm/dd/yyyy"/>
  </numFmts>
  <fonts count="2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8000"/>
      <name val="Times New Roman"/>
      <family val="1"/>
    </font>
    <font>
      <sz val="12"/>
      <color rgb="FF0000FF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Fill="1"/>
    <xf numFmtId="0" fontId="3" fillId="0" borderId="2" xfId="0" applyFont="1" applyBorder="1"/>
    <xf numFmtId="0" fontId="0" fillId="0" borderId="2" xfId="0" applyBorder="1"/>
    <xf numFmtId="3" fontId="4" fillId="0" borderId="2" xfId="0" applyNumberFormat="1" applyFont="1" applyBorder="1"/>
    <xf numFmtId="1" fontId="4" fillId="2" borderId="2" xfId="0" applyNumberFormat="1" applyFont="1" applyFill="1" applyBorder="1"/>
    <xf numFmtId="167" fontId="4" fillId="2" borderId="2" xfId="0" applyNumberFormat="1" applyFont="1" applyFill="1" applyBorder="1"/>
    <xf numFmtId="1" fontId="4" fillId="0" borderId="2" xfId="0" applyNumberFormat="1" applyFont="1" applyBorder="1"/>
    <xf numFmtId="0" fontId="1" fillId="0" borderId="2" xfId="0" applyFont="1" applyBorder="1"/>
    <xf numFmtId="0" fontId="8" fillId="3" borderId="2" xfId="0" applyFont="1" applyFill="1" applyBorder="1"/>
    <xf numFmtId="0" fontId="1" fillId="4" borderId="2" xfId="0" applyFont="1" applyFill="1" applyBorder="1"/>
    <xf numFmtId="44" fontId="4" fillId="0" borderId="2" xfId="1" applyFont="1" applyBorder="1"/>
    <xf numFmtId="9" fontId="4" fillId="2" borderId="2" xfId="2" applyFont="1" applyFill="1" applyBorder="1"/>
    <xf numFmtId="44" fontId="4" fillId="2" borderId="2" xfId="1" applyFont="1" applyFill="1" applyBorder="1"/>
    <xf numFmtId="9" fontId="3" fillId="0" borderId="2" xfId="2" applyFont="1" applyBorder="1"/>
    <xf numFmtId="44" fontId="3" fillId="0" borderId="2" xfId="1" applyFont="1" applyBorder="1"/>
    <xf numFmtId="0" fontId="0" fillId="4" borderId="0" xfId="0" applyFont="1" applyFill="1"/>
    <xf numFmtId="44" fontId="5" fillId="0" borderId="2" xfId="1" applyFont="1" applyBorder="1"/>
    <xf numFmtId="169" fontId="5" fillId="0" borderId="2" xfId="2" applyNumberFormat="1" applyFont="1" applyBorder="1"/>
    <xf numFmtId="10" fontId="5" fillId="0" borderId="2" xfId="2" applyNumberFormat="1" applyFont="1" applyBorder="1"/>
    <xf numFmtId="167" fontId="5" fillId="0" borderId="2" xfId="0" applyNumberFormat="1" applyFont="1" applyBorder="1"/>
    <xf numFmtId="164" fontId="5" fillId="0" borderId="2" xfId="0" applyNumberFormat="1" applyFont="1" applyBorder="1"/>
    <xf numFmtId="166" fontId="5" fillId="0" borderId="2" xfId="0" applyNumberFormat="1" applyFont="1" applyBorder="1"/>
    <xf numFmtId="1" fontId="6" fillId="0" borderId="2" xfId="0" applyNumberFormat="1" applyFont="1" applyBorder="1" applyAlignment="1">
      <alignment horizontal="center"/>
    </xf>
    <xf numFmtId="167" fontId="6" fillId="0" borderId="2" xfId="0" applyNumberFormat="1" applyFont="1" applyBorder="1"/>
    <xf numFmtId="10" fontId="6" fillId="0" borderId="2" xfId="2" applyNumberFormat="1" applyFont="1" applyBorder="1"/>
    <xf numFmtId="0" fontId="0" fillId="5" borderId="0" xfId="0" applyFill="1"/>
    <xf numFmtId="0" fontId="0" fillId="4" borderId="9" xfId="0" applyFont="1" applyFill="1" applyBorder="1"/>
    <xf numFmtId="0" fontId="0" fillId="4" borderId="10" xfId="0" applyFont="1" applyFill="1" applyBorder="1"/>
    <xf numFmtId="0" fontId="3" fillId="5" borderId="0" xfId="0" applyFont="1" applyFill="1"/>
    <xf numFmtId="0" fontId="8" fillId="3" borderId="11" xfId="0" applyFont="1" applyFill="1" applyBorder="1"/>
    <xf numFmtId="0" fontId="2" fillId="5" borderId="3" xfId="0" applyFont="1" applyFill="1" applyBorder="1"/>
    <xf numFmtId="0" fontId="0" fillId="5" borderId="1" xfId="0" applyFill="1" applyBorder="1"/>
    <xf numFmtId="0" fontId="0" fillId="5" borderId="4" xfId="0" applyFill="1" applyBorder="1"/>
    <xf numFmtId="0" fontId="3" fillId="5" borderId="5" xfId="0" applyFont="1" applyFill="1" applyBorder="1"/>
    <xf numFmtId="0" fontId="0" fillId="5" borderId="6" xfId="0" applyFill="1" applyBorder="1"/>
    <xf numFmtId="0" fontId="0" fillId="5" borderId="7" xfId="0" applyFill="1" applyBorder="1"/>
    <xf numFmtId="0" fontId="3" fillId="0" borderId="8" xfId="0" applyFont="1" applyBorder="1"/>
    <xf numFmtId="0" fontId="0" fillId="0" borderId="9" xfId="0" applyBorder="1"/>
    <xf numFmtId="0" fontId="0" fillId="0" borderId="10" xfId="0" applyBorder="1"/>
    <xf numFmtId="167" fontId="1" fillId="0" borderId="2" xfId="0" applyNumberFormat="1" applyFont="1" applyBorder="1"/>
    <xf numFmtId="167" fontId="3" fillId="0" borderId="2" xfId="0" applyNumberFormat="1" applyFont="1" applyBorder="1"/>
    <xf numFmtId="1" fontId="8" fillId="4" borderId="2" xfId="0" applyNumberFormat="1" applyFont="1" applyFill="1" applyBorder="1"/>
    <xf numFmtId="0" fontId="0" fillId="4" borderId="2" xfId="0" applyFont="1" applyFill="1" applyBorder="1"/>
    <xf numFmtId="0" fontId="0" fillId="0" borderId="11" xfId="0" applyBorder="1"/>
    <xf numFmtId="0" fontId="0" fillId="4" borderId="9" xfId="0" applyFill="1" applyBorder="1"/>
    <xf numFmtId="168" fontId="8" fillId="4" borderId="11" xfId="0" applyNumberFormat="1" applyFont="1" applyFill="1" applyBorder="1"/>
    <xf numFmtId="0" fontId="0" fillId="4" borderId="10" xfId="0" applyFill="1" applyBorder="1"/>
    <xf numFmtId="0" fontId="0" fillId="4" borderId="1" xfId="0" applyFont="1" applyFill="1" applyBorder="1"/>
    <xf numFmtId="0" fontId="0" fillId="4" borderId="4" xfId="0" applyFont="1" applyFill="1" applyBorder="1"/>
    <xf numFmtId="1" fontId="8" fillId="4" borderId="6" xfId="0" applyNumberFormat="1" applyFont="1" applyFill="1" applyBorder="1"/>
    <xf numFmtId="1" fontId="8" fillId="4" borderId="7" xfId="0" applyNumberFormat="1" applyFont="1" applyFill="1" applyBorder="1"/>
    <xf numFmtId="0" fontId="0" fillId="5" borderId="0" xfId="0" applyFont="1" applyFill="1" applyBorder="1"/>
    <xf numFmtId="0" fontId="9" fillId="0" borderId="8" xfId="0" applyFont="1" applyBorder="1"/>
    <xf numFmtId="0" fontId="10" fillId="5" borderId="0" xfId="0" applyFont="1" applyFill="1"/>
    <xf numFmtId="0" fontId="11" fillId="4" borderId="3" xfId="0" applyFont="1" applyFill="1" applyBorder="1"/>
    <xf numFmtId="0" fontId="10" fillId="0" borderId="0" xfId="0" applyFont="1"/>
    <xf numFmtId="0" fontId="12" fillId="0" borderId="2" xfId="0" applyFont="1" applyBorder="1"/>
    <xf numFmtId="0" fontId="13" fillId="0" borderId="2" xfId="0" applyFont="1" applyBorder="1"/>
    <xf numFmtId="0" fontId="10" fillId="0" borderId="2" xfId="0" applyFont="1" applyBorder="1"/>
    <xf numFmtId="0" fontId="13" fillId="4" borderId="2" xfId="0" applyFont="1" applyFill="1" applyBorder="1"/>
    <xf numFmtId="0" fontId="11" fillId="4" borderId="8" xfId="0" applyFont="1" applyFill="1" applyBorder="1"/>
    <xf numFmtId="0" fontId="11" fillId="4" borderId="2" xfId="0" applyFont="1" applyFill="1" applyBorder="1"/>
    <xf numFmtId="0" fontId="15" fillId="5" borderId="0" xfId="0" applyFont="1" applyFill="1"/>
    <xf numFmtId="0" fontId="16" fillId="4" borderId="3" xfId="0" applyFont="1" applyFill="1" applyBorder="1"/>
    <xf numFmtId="0" fontId="16" fillId="4" borderId="5" xfId="0" applyFont="1" applyFill="1" applyBorder="1"/>
    <xf numFmtId="0" fontId="15" fillId="0" borderId="0" xfId="0" applyFont="1"/>
    <xf numFmtId="0" fontId="17" fillId="0" borderId="2" xfId="0" applyFont="1" applyBorder="1"/>
    <xf numFmtId="0" fontId="14" fillId="0" borderId="2" xfId="0" applyFont="1" applyBorder="1"/>
    <xf numFmtId="0" fontId="15" fillId="0" borderId="2" xfId="0" applyFont="1" applyBorder="1"/>
    <xf numFmtId="0" fontId="14" fillId="4" borderId="2" xfId="0" applyFont="1" applyFill="1" applyBorder="1"/>
    <xf numFmtId="0" fontId="16" fillId="4" borderId="8" xfId="0" applyFont="1" applyFill="1" applyBorder="1"/>
    <xf numFmtId="0" fontId="16" fillId="4" borderId="11" xfId="0" applyFont="1" applyFill="1" applyBorder="1"/>
    <xf numFmtId="0" fontId="16" fillId="4" borderId="2" xfId="0" applyFont="1" applyFill="1" applyBorder="1"/>
    <xf numFmtId="0" fontId="0" fillId="4" borderId="8" xfId="0" applyFont="1" applyFill="1" applyBorder="1"/>
    <xf numFmtId="0" fontId="18" fillId="0" borderId="9" xfId="0" applyFont="1" applyBorder="1"/>
    <xf numFmtId="0" fontId="18" fillId="0" borderId="2" xfId="0" applyFont="1" applyBorder="1"/>
    <xf numFmtId="0" fontId="12" fillId="0" borderId="11" xfId="0" applyFont="1" applyBorder="1"/>
    <xf numFmtId="0" fontId="12" fillId="0" borderId="12" xfId="0" applyFont="1" applyBorder="1"/>
    <xf numFmtId="0" fontId="9" fillId="5" borderId="3" xfId="0" applyFont="1" applyFill="1" applyBorder="1"/>
    <xf numFmtId="0" fontId="12" fillId="5" borderId="5" xfId="0" applyFont="1" applyFill="1" applyBorder="1"/>
    <xf numFmtId="0" fontId="11" fillId="4" borderId="0" xfId="0" applyFont="1" applyFill="1"/>
    <xf numFmtId="0" fontId="12" fillId="0" borderId="2" xfId="0" applyFont="1" applyBorder="1" applyAlignment="1">
      <alignment wrapText="1"/>
    </xf>
    <xf numFmtId="3" fontId="20" fillId="0" borderId="2" xfId="0" applyNumberFormat="1" applyFont="1" applyBorder="1" applyAlignment="1">
      <alignment horizontal="center"/>
    </xf>
    <xf numFmtId="0" fontId="17" fillId="0" borderId="2" xfId="0" applyFont="1" applyBorder="1" applyAlignment="1">
      <alignment wrapText="1"/>
    </xf>
    <xf numFmtId="170" fontId="21" fillId="2" borderId="2" xfId="0" applyNumberFormat="1" applyFont="1" applyFill="1" applyBorder="1" applyAlignment="1">
      <alignment horizontal="center"/>
    </xf>
    <xf numFmtId="1" fontId="21" fillId="0" borderId="2" xfId="0" applyNumberFormat="1" applyFont="1" applyBorder="1" applyAlignment="1">
      <alignment horizontal="center"/>
    </xf>
    <xf numFmtId="1" fontId="21" fillId="2" borderId="2" xfId="0" applyNumberFormat="1" applyFont="1" applyFill="1" applyBorder="1" applyAlignment="1">
      <alignment horizontal="center"/>
    </xf>
    <xf numFmtId="164" fontId="21" fillId="0" borderId="2" xfId="0" applyNumberFormat="1" applyFont="1" applyBorder="1" applyAlignment="1">
      <alignment horizontal="center"/>
    </xf>
    <xf numFmtId="0" fontId="0" fillId="5" borderId="0" xfId="0" applyFont="1" applyFill="1"/>
    <xf numFmtId="0" fontId="2" fillId="4" borderId="3" xfId="0" applyFont="1" applyFill="1" applyBorder="1"/>
    <xf numFmtId="0" fontId="0" fillId="4" borderId="1" xfId="0" applyFill="1" applyBorder="1"/>
    <xf numFmtId="0" fontId="0" fillId="4" borderId="4" xfId="0" applyFill="1" applyBorder="1"/>
    <xf numFmtId="0" fontId="3" fillId="4" borderId="5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15" fillId="4" borderId="9" xfId="0" applyFont="1" applyFill="1" applyBorder="1" applyAlignment="1">
      <alignment horizontal="center"/>
    </xf>
    <xf numFmtId="0" fontId="15" fillId="4" borderId="10" xfId="0" applyFont="1" applyFill="1" applyBorder="1"/>
    <xf numFmtId="1" fontId="1" fillId="0" borderId="2" xfId="0" applyNumberFormat="1" applyFont="1" applyBorder="1" applyAlignment="1">
      <alignment horizontal="center"/>
    </xf>
    <xf numFmtId="170" fontId="1" fillId="0" borderId="2" xfId="0" applyNumberFormat="1" applyFont="1" applyBorder="1" applyAlignment="1">
      <alignment horizontal="center"/>
    </xf>
    <xf numFmtId="0" fontId="19" fillId="0" borderId="2" xfId="0" applyFont="1" applyBorder="1"/>
    <xf numFmtId="0" fontId="22" fillId="0" borderId="2" xfId="0" applyFont="1" applyBorder="1" applyAlignment="1">
      <alignment wrapText="1"/>
    </xf>
    <xf numFmtId="1" fontId="21" fillId="0" borderId="2" xfId="0" applyNumberFormat="1" applyFont="1" applyBorder="1" applyAlignment="1">
      <alignment horizontal="center" wrapText="1"/>
    </xf>
    <xf numFmtId="0" fontId="10" fillId="4" borderId="1" xfId="0" applyFont="1" applyFill="1" applyBorder="1"/>
    <xf numFmtId="0" fontId="10" fillId="4" borderId="4" xfId="0" applyFont="1" applyFill="1" applyBorder="1"/>
    <xf numFmtId="0" fontId="11" fillId="4" borderId="5" xfId="0" applyFont="1" applyFill="1" applyBorder="1" applyAlignment="1">
      <alignment horizontal="center" wrapText="1"/>
    </xf>
    <xf numFmtId="0" fontId="11" fillId="4" borderId="6" xfId="0" applyFont="1" applyFill="1" applyBorder="1" applyAlignment="1">
      <alignment horizontal="center" wrapText="1"/>
    </xf>
    <xf numFmtId="0" fontId="13" fillId="4" borderId="6" xfId="0" applyFont="1" applyFill="1" applyBorder="1" applyAlignment="1">
      <alignment horizontal="center" wrapText="1"/>
    </xf>
    <xf numFmtId="0" fontId="13" fillId="4" borderId="7" xfId="0" applyFont="1" applyFill="1" applyBorder="1" applyAlignment="1">
      <alignment horizontal="center" wrapText="1"/>
    </xf>
    <xf numFmtId="1" fontId="12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 wrapText="1"/>
    </xf>
    <xf numFmtId="0" fontId="10" fillId="4" borderId="9" xfId="0" applyFont="1" applyFill="1" applyBorder="1"/>
    <xf numFmtId="0" fontId="10" fillId="4" borderId="10" xfId="0" applyFont="1" applyFill="1" applyBorder="1"/>
    <xf numFmtId="0" fontId="11" fillId="4" borderId="3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 wrapText="1"/>
    </xf>
    <xf numFmtId="169" fontId="4" fillId="2" borderId="2" xfId="2" applyNumberFormat="1" applyFont="1" applyFill="1" applyBorder="1"/>
    <xf numFmtId="44" fontId="1" fillId="0" borderId="2" xfId="1" applyFont="1" applyBorder="1"/>
    <xf numFmtId="44" fontId="1" fillId="4" borderId="2" xfId="1" applyFont="1" applyFill="1" applyBorder="1"/>
    <xf numFmtId="169" fontId="3" fillId="0" borderId="2" xfId="2" applyNumberFormat="1" applyFont="1" applyBorder="1"/>
    <xf numFmtId="10" fontId="3" fillId="0" borderId="2" xfId="2" applyNumberFormat="1" applyFont="1" applyBorder="1"/>
    <xf numFmtId="10" fontId="1" fillId="0" borderId="2" xfId="2" applyNumberFormat="1" applyFont="1" applyBorder="1"/>
    <xf numFmtId="44" fontId="3" fillId="0" borderId="11" xfId="1" applyFont="1" applyBorder="1"/>
    <xf numFmtId="10" fontId="3" fillId="0" borderId="12" xfId="2" applyNumberFormat="1" applyFont="1" applyBorder="1"/>
    <xf numFmtId="44" fontId="19" fillId="0" borderId="2" xfId="1" applyFont="1" applyBorder="1"/>
    <xf numFmtId="44" fontId="12" fillId="0" borderId="2" xfId="1" applyFont="1" applyBorder="1" applyAlignment="1">
      <alignment horizontal="center"/>
    </xf>
    <xf numFmtId="44" fontId="10" fillId="0" borderId="2" xfId="1" applyFont="1" applyBorder="1" applyAlignment="1">
      <alignment horizontal="center"/>
    </xf>
    <xf numFmtId="44" fontId="13" fillId="0" borderId="2" xfId="1" applyFont="1" applyBorder="1" applyAlignment="1">
      <alignment horizontal="center"/>
    </xf>
    <xf numFmtId="44" fontId="12" fillId="0" borderId="2" xfId="1" applyFont="1" applyBorder="1" applyAlignment="1">
      <alignment horizontal="center" wrapText="1"/>
    </xf>
    <xf numFmtId="10" fontId="12" fillId="0" borderId="2" xfId="2" applyNumberFormat="1" applyFont="1" applyBorder="1" applyAlignment="1">
      <alignment horizontal="center" wrapText="1"/>
    </xf>
    <xf numFmtId="44" fontId="20" fillId="0" borderId="2" xfId="1" applyFont="1" applyBorder="1" applyAlignment="1">
      <alignment horizontal="center"/>
    </xf>
    <xf numFmtId="9" fontId="20" fillId="0" borderId="2" xfId="2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brary/Application%20Support/Claude/scratch-workspaces/d87ad6cf-8833-4d90-a3a2-31d94dfbfd2b/e0a144ba-cc64-4347-afaf-fe9b174602c9/scratch-2026-10-16-a891c3/Warehouse_NNN_130K_Down_Analysis.xlsx" TargetMode="External"/><Relationship Id="rId2" Type="http://schemas.openxmlformats.org/officeDocument/2006/relationships/externalLinkPath" Target="/Users/valeria/Library/Application%20Support/Claude/scratch-workspaces/d87ad6cf-8833-4d90-a3a2-31d94dfbfd2b/e0a144ba-cc64-4347-afaf-fe9b174602c9/scratch-2026-10-16-a891c3/Warehouse_NNN_130K_Down_Analysis.xlsx" TargetMode="External"/><Relationship Id="rId1" Type="http://schemas.openxmlformats.org/officeDocument/2006/relationships/externalLinkPath" Target="/Users/valeria/Library/Application%20Support/Claude/scratch-workspaces/d87ad6cf-8833-4d90-a3a2-31d94dfbfd2b/e0a144ba-cc64-4347-afaf-fe9b174602c9/scratch-2026-10-16-a891c3/Warehouse_NNN_130K_Down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s"/>
      <sheetName val="Summary"/>
      <sheetName val="PF Client 130K"/>
      <sheetName val="PF Alt 70 LTV"/>
    </sheetNames>
    <sheetDataSet>
      <sheetData sheetId="0"/>
      <sheetData sheetId="1"/>
      <sheetData sheetId="2">
        <row r="6">
          <cell r="C6">
            <v>28224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9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35.33203125" customWidth="1"/>
    <col min="2" max="2" width="20" customWidth="1"/>
    <col min="3" max="3" width="19.83203125" customWidth="1"/>
    <col min="4" max="4" width="102.33203125" customWidth="1"/>
  </cols>
  <sheetData>
    <row r="1" spans="1:33" ht="18" x14ac:dyDescent="0.2">
      <c r="A1" s="31" t="s">
        <v>0</v>
      </c>
      <c r="B1" s="32"/>
      <c r="C1" s="33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spans="1:33" x14ac:dyDescent="0.2">
      <c r="A2" s="34" t="s">
        <v>117</v>
      </c>
      <c r="B2" s="35"/>
      <c r="C2" s="3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3" x14ac:dyDescent="0.2">
      <c r="A3" s="30" t="s">
        <v>1</v>
      </c>
      <c r="B3" s="1"/>
      <c r="C3" s="1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</row>
    <row r="4" spans="1:33" x14ac:dyDescent="0.2">
      <c r="A4" s="2" t="s">
        <v>2</v>
      </c>
      <c r="B4" s="11">
        <v>270000</v>
      </c>
      <c r="C4" s="3"/>
      <c r="D4" s="2" t="s">
        <v>3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</row>
    <row r="5" spans="1:33" x14ac:dyDescent="0.2">
      <c r="A5" s="2" t="s">
        <v>4</v>
      </c>
      <c r="B5" s="4">
        <v>2016</v>
      </c>
      <c r="C5" s="3"/>
      <c r="D5" s="2" t="s">
        <v>5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x14ac:dyDescent="0.2">
      <c r="A6" s="2" t="s">
        <v>6</v>
      </c>
      <c r="B6" s="11">
        <v>14</v>
      </c>
      <c r="C6" s="3"/>
      <c r="D6" s="2" t="s">
        <v>7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x14ac:dyDescent="0.2">
      <c r="A7" s="2" t="s">
        <v>8</v>
      </c>
      <c r="B7" s="11">
        <v>4.5</v>
      </c>
      <c r="C7" s="3"/>
      <c r="D7" s="2" t="s">
        <v>9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</row>
    <row r="8" spans="1:33" x14ac:dyDescent="0.2">
      <c r="A8" s="2" t="s">
        <v>10</v>
      </c>
      <c r="B8" s="120">
        <v>3.5000000000000003E-2</v>
      </c>
      <c r="C8" s="3"/>
      <c r="D8" s="2" t="s">
        <v>11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 spans="1:33" x14ac:dyDescent="0.2">
      <c r="A9" s="2" t="s">
        <v>12</v>
      </c>
      <c r="B9" s="12">
        <v>0.03</v>
      </c>
      <c r="C9" s="3"/>
      <c r="D9" s="2" t="s">
        <v>13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</row>
    <row r="10" spans="1:33" x14ac:dyDescent="0.2">
      <c r="A10" s="2" t="s">
        <v>14</v>
      </c>
      <c r="B10" s="12">
        <v>0.03</v>
      </c>
      <c r="C10" s="3"/>
      <c r="D10" s="2" t="s">
        <v>116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</row>
    <row r="11" spans="1:33" x14ac:dyDescent="0.2">
      <c r="A11" s="2" t="s">
        <v>15</v>
      </c>
      <c r="B11" s="12">
        <v>1</v>
      </c>
      <c r="C11" s="3"/>
      <c r="D11" s="2" t="s">
        <v>16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 spans="1:33" x14ac:dyDescent="0.2">
      <c r="A12" s="2" t="s">
        <v>17</v>
      </c>
      <c r="B12" s="120">
        <v>0.02</v>
      </c>
      <c r="C12" s="3"/>
      <c r="D12" s="2" t="s">
        <v>13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 x14ac:dyDescent="0.2">
      <c r="A13" s="2" t="s">
        <v>18</v>
      </c>
      <c r="B13" s="13">
        <v>0.1</v>
      </c>
      <c r="C13" s="3"/>
      <c r="D13" s="2" t="s">
        <v>19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  <row r="14" spans="1:33" x14ac:dyDescent="0.2">
      <c r="A14" s="2" t="s">
        <v>20</v>
      </c>
      <c r="B14" s="13">
        <v>0.15</v>
      </c>
      <c r="C14" s="3"/>
      <c r="D14" s="2" t="s">
        <v>21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</row>
    <row r="15" spans="1:33" x14ac:dyDescent="0.2">
      <c r="A15" s="2" t="s">
        <v>22</v>
      </c>
      <c r="B15" s="120">
        <v>1.4999999999999999E-2</v>
      </c>
      <c r="C15" s="3"/>
      <c r="D15" s="2" t="s">
        <v>23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</row>
    <row r="16" spans="1:33" x14ac:dyDescent="0.2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 spans="1:33" x14ac:dyDescent="0.2">
      <c r="A17" s="9" t="s">
        <v>24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1:33" x14ac:dyDescent="0.2">
      <c r="B18" s="10" t="s">
        <v>25</v>
      </c>
      <c r="C18" s="10" t="s">
        <v>26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19" spans="1:33" x14ac:dyDescent="0.2">
      <c r="A19" s="2" t="s">
        <v>27</v>
      </c>
      <c r="B19" s="11">
        <v>130000</v>
      </c>
      <c r="C19" s="15">
        <f>$B$4*(1-C20)</f>
        <v>81000.000000000015</v>
      </c>
      <c r="D19" s="2" t="s">
        <v>28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</row>
    <row r="20" spans="1:33" x14ac:dyDescent="0.2">
      <c r="A20" s="2" t="s">
        <v>29</v>
      </c>
      <c r="B20" s="14">
        <f>1-B19/$B$4</f>
        <v>0.5185185185185186</v>
      </c>
      <c r="C20" s="12">
        <v>0.7</v>
      </c>
      <c r="D20" s="2" t="s">
        <v>30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</row>
    <row r="21" spans="1:33" x14ac:dyDescent="0.2">
      <c r="A21" s="2" t="s">
        <v>31</v>
      </c>
      <c r="B21" s="15">
        <f>$B$4-B19</f>
        <v>140000</v>
      </c>
      <c r="C21" s="15">
        <f>$B$4-C19</f>
        <v>189000</v>
      </c>
      <c r="D21" s="3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</row>
    <row r="22" spans="1:33" x14ac:dyDescent="0.2">
      <c r="A22" s="2" t="s">
        <v>32</v>
      </c>
      <c r="B22" s="120">
        <v>6.7500000000000004E-2</v>
      </c>
      <c r="C22" s="12">
        <v>6.7500000000000004E-2</v>
      </c>
      <c r="D22" s="2" t="s">
        <v>33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A23" s="2" t="s">
        <v>34</v>
      </c>
      <c r="B23" s="5">
        <v>25</v>
      </c>
      <c r="C23" s="5">
        <v>25</v>
      </c>
      <c r="D23" s="2" t="s">
        <v>35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2" t="s">
        <v>36</v>
      </c>
      <c r="B24" s="5">
        <v>10</v>
      </c>
      <c r="C24" s="5">
        <v>10</v>
      </c>
      <c r="D24" s="3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</row>
    <row r="25" spans="1:33" x14ac:dyDescent="0.2">
      <c r="A25" s="2" t="s">
        <v>37</v>
      </c>
      <c r="B25" s="12">
        <v>0.01</v>
      </c>
      <c r="C25" s="12">
        <v>0.01</v>
      </c>
      <c r="D25" s="3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</row>
    <row r="26" spans="1:33" x14ac:dyDescent="0.2">
      <c r="A26" s="2" t="s">
        <v>38</v>
      </c>
      <c r="B26" s="13">
        <v>5000</v>
      </c>
      <c r="C26" s="13">
        <v>5000</v>
      </c>
      <c r="D26" s="3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</row>
    <row r="27" spans="1:33" x14ac:dyDescent="0.2">
      <c r="A27" s="2" t="s">
        <v>39</v>
      </c>
      <c r="B27" s="6">
        <v>1.25</v>
      </c>
      <c r="C27" s="6">
        <v>1.25</v>
      </c>
      <c r="D27" s="2" t="s">
        <v>40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</row>
    <row r="28" spans="1:33" x14ac:dyDescent="0.2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</row>
    <row r="29" spans="1:33" x14ac:dyDescent="0.2">
      <c r="A29" s="9" t="s">
        <v>41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</row>
    <row r="30" spans="1:33" x14ac:dyDescent="0.2">
      <c r="A30" s="2" t="s">
        <v>42</v>
      </c>
      <c r="B30" s="120">
        <v>7.0000000000000007E-2</v>
      </c>
      <c r="C30" s="3"/>
      <c r="D30" s="2" t="s">
        <v>182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</row>
    <row r="31" spans="1:33" x14ac:dyDescent="0.2">
      <c r="A31" s="2" t="s">
        <v>43</v>
      </c>
      <c r="B31" s="120">
        <v>3.5000000000000003E-2</v>
      </c>
      <c r="C31" s="3"/>
      <c r="D31" s="2" t="s">
        <v>44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</row>
    <row r="32" spans="1:33" x14ac:dyDescent="0.2">
      <c r="A32" s="2" t="s">
        <v>45</v>
      </c>
      <c r="B32" s="7">
        <v>5</v>
      </c>
      <c r="C32" s="3"/>
      <c r="D32" s="2" t="s">
        <v>7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</row>
    <row r="33" spans="1:33" x14ac:dyDescent="0.2">
      <c r="A33" s="2" t="s">
        <v>46</v>
      </c>
      <c r="B33" s="7">
        <v>8</v>
      </c>
      <c r="C33" s="3"/>
      <c r="D33" s="2" t="s">
        <v>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</row>
    <row r="34" spans="1:33" x14ac:dyDescent="0.2">
      <c r="A34" s="2" t="s">
        <v>47</v>
      </c>
      <c r="B34" s="7">
        <v>10</v>
      </c>
      <c r="C34" s="3"/>
      <c r="D34" s="2" t="s">
        <v>48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 spans="1:33" x14ac:dyDescent="0.2"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</row>
    <row r="36" spans="1:33" x14ac:dyDescent="0.2">
      <c r="A36" s="37" t="s">
        <v>181</v>
      </c>
      <c r="B36" s="38"/>
      <c r="C36" s="38"/>
      <c r="D36" s="39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</row>
    <row r="37" spans="1:33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</row>
    <row r="38" spans="1:33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spans="1:33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1:33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1:33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1:33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3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 spans="1:33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  <row r="45" spans="1:33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</row>
    <row r="46" spans="1:33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</row>
    <row r="47" spans="1:33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</row>
    <row r="48" spans="1:33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</row>
    <row r="49" spans="1:33" x14ac:dyDescent="0.2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</row>
    <row r="50" spans="1:33" x14ac:dyDescent="0.2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</row>
    <row r="51" spans="1:33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1:33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1:33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1:33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1:33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</row>
    <row r="56" spans="1:33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</row>
    <row r="57" spans="1:33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</row>
    <row r="58" spans="1:33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</row>
    <row r="59" spans="1:33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</row>
    <row r="60" spans="1:33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</row>
    <row r="61" spans="1:33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</row>
    <row r="62" spans="1:33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</row>
    <row r="63" spans="1:33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</row>
    <row r="64" spans="1:33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</row>
    <row r="65" spans="1:33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</row>
    <row r="66" spans="1:33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</row>
    <row r="67" spans="1:33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</row>
    <row r="68" spans="1:33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</row>
    <row r="69" spans="1:33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</row>
    <row r="70" spans="1:33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</row>
    <row r="71" spans="1:33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</row>
    <row r="72" spans="1:33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</row>
    <row r="73" spans="1:33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</row>
    <row r="74" spans="1:33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</row>
    <row r="75" spans="1:33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</row>
    <row r="76" spans="1:33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</row>
    <row r="77" spans="1:33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</row>
    <row r="78" spans="1:33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</row>
    <row r="79" spans="1:33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</row>
    <row r="80" spans="1:33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</row>
    <row r="81" spans="1:33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</row>
    <row r="82" spans="1:33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</row>
    <row r="83" spans="1:33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4" spans="1:33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</row>
    <row r="85" spans="1:33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</row>
    <row r="86" spans="1:33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</row>
    <row r="87" spans="1:33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</row>
    <row r="88" spans="1:33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</row>
    <row r="89" spans="1:33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</row>
    <row r="90" spans="1:33" x14ac:dyDescent="0.2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</row>
    <row r="91" spans="1:33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</row>
    <row r="92" spans="1:33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</row>
    <row r="93" spans="1:33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</row>
    <row r="94" spans="1:33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</row>
    <row r="95" spans="1:33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</row>
    <row r="96" spans="1:33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</row>
    <row r="97" spans="1:33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</row>
    <row r="98" spans="1:33" x14ac:dyDescent="0.2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</row>
    <row r="99" spans="1:33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</row>
    <row r="100" spans="1:33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</row>
    <row r="101" spans="1:33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</row>
    <row r="102" spans="1:33" x14ac:dyDescent="0.2"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</row>
    <row r="103" spans="1:33" x14ac:dyDescent="0.2"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</row>
    <row r="104" spans="1:33" x14ac:dyDescent="0.2"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</row>
    <row r="105" spans="1:33" x14ac:dyDescent="0.2"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</row>
    <row r="106" spans="1:33" x14ac:dyDescent="0.2"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</row>
    <row r="107" spans="1:33" x14ac:dyDescent="0.2"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</row>
    <row r="108" spans="1:33" x14ac:dyDescent="0.2"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</row>
    <row r="109" spans="1:33" x14ac:dyDescent="0.2"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6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40" customWidth="1"/>
    <col min="2" max="7" width="20" customWidth="1"/>
  </cols>
  <sheetData>
    <row r="1" spans="1:17" ht="18" x14ac:dyDescent="0.2">
      <c r="A1" s="79" t="s">
        <v>49</v>
      </c>
      <c r="B1" s="32"/>
      <c r="C1" s="33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2">
      <c r="A2" s="80" t="s">
        <v>118</v>
      </c>
      <c r="B2" s="35"/>
      <c r="C2" s="3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">
      <c r="A3" s="54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">
      <c r="A4" s="61" t="s">
        <v>50</v>
      </c>
      <c r="B4" s="27"/>
      <c r="C4" s="28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 x14ac:dyDescent="0.2">
      <c r="A5" s="59"/>
      <c r="B5" s="8" t="s">
        <v>25</v>
      </c>
      <c r="C5" s="8" t="s">
        <v>26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x14ac:dyDescent="0.2">
      <c r="A6" s="57" t="s">
        <v>51</v>
      </c>
      <c r="B6" s="17">
        <f>'PF Client 130K'!B28</f>
        <v>270000</v>
      </c>
      <c r="C6" s="17">
        <f>'PF Alt 70 LTV'!B28</f>
        <v>270000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x14ac:dyDescent="0.2">
      <c r="A7" s="57" t="s">
        <v>52</v>
      </c>
      <c r="B7" s="17">
        <f>Inputs!B19</f>
        <v>130000</v>
      </c>
      <c r="C7" s="17">
        <f>Inputs!C19</f>
        <v>81000.000000000015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x14ac:dyDescent="0.2">
      <c r="A8" s="57" t="s">
        <v>53</v>
      </c>
      <c r="B8" s="17">
        <f>'PF Client 130K'!B33</f>
        <v>140450</v>
      </c>
      <c r="C8" s="17">
        <f>'PF Alt 70 LTV'!B33</f>
        <v>91940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1:17" x14ac:dyDescent="0.2">
      <c r="A9" s="57" t="s">
        <v>54</v>
      </c>
      <c r="B9" s="17">
        <f>'PF Client 130K'!B32</f>
        <v>140000</v>
      </c>
      <c r="C9" s="17">
        <f>'PF Alt 70 LTV'!B32</f>
        <v>189000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1:17" x14ac:dyDescent="0.2">
      <c r="A10" s="57" t="s">
        <v>55</v>
      </c>
      <c r="B10" s="18">
        <f>'PF Client 130K'!B37</f>
        <v>0.51851851851851849</v>
      </c>
      <c r="C10" s="18">
        <f>'PF Alt 70 LTV'!B37</f>
        <v>0.7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x14ac:dyDescent="0.2">
      <c r="A11" s="57" t="s">
        <v>56</v>
      </c>
      <c r="B11" s="18">
        <f>Inputs!B22</f>
        <v>6.7500000000000004E-2</v>
      </c>
      <c r="C11" s="18">
        <f>Inputs!C22</f>
        <v>6.7500000000000004E-2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x14ac:dyDescent="0.2">
      <c r="A12" s="57" t="s">
        <v>57</v>
      </c>
      <c r="B12" s="17">
        <f>'PF Client 130K'!B35</f>
        <v>11607.313623572467</v>
      </c>
      <c r="C12" s="17">
        <f>'PF Alt 70 LTV'!B35</f>
        <v>15669.873391822828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 spans="1:17" x14ac:dyDescent="0.2">
      <c r="A13" s="57" t="s">
        <v>58</v>
      </c>
      <c r="B13" s="17">
        <f>'PF Client 130K'!C16</f>
        <v>26325.734400000001</v>
      </c>
      <c r="C13" s="17">
        <f>'PF Alt 70 LTV'!C16</f>
        <v>26325.734400000001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x14ac:dyDescent="0.2">
      <c r="A14" s="57" t="s">
        <v>59</v>
      </c>
      <c r="B14" s="19">
        <f>'PF Client 130K'!B36</f>
        <v>9.7502720000000001E-2</v>
      </c>
      <c r="C14" s="19">
        <f>'PF Alt 70 LTV'!B36</f>
        <v>9.7502720000000001E-2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1:17" x14ac:dyDescent="0.2">
      <c r="A15" s="57" t="s">
        <v>60</v>
      </c>
      <c r="B15" s="20">
        <f>'PF Client 130K'!C22</f>
        <v>2.2680299037097562</v>
      </c>
      <c r="C15" s="20">
        <f>'PF Alt 70 LTV'!C22</f>
        <v>1.6800221508961157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1:17" x14ac:dyDescent="0.2">
      <c r="A16" s="57" t="s">
        <v>61</v>
      </c>
      <c r="B16" s="21">
        <f>'PF Client 130K'!C23</f>
        <v>14718.420776427534</v>
      </c>
      <c r="C16" s="21">
        <f>'PF Alt 70 LTV'!C23</f>
        <v>10655.861008177173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7" x14ac:dyDescent="0.2">
      <c r="A17" s="57" t="s">
        <v>62</v>
      </c>
      <c r="B17" s="22">
        <f>'PF Client 130K'!C24</f>
        <v>0.10479473674921705</v>
      </c>
      <c r="C17" s="22">
        <f>'PF Alt 70 LTV'!C24</f>
        <v>0.11590016323882067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x14ac:dyDescent="0.2">
      <c r="A18" s="57" t="s">
        <v>63</v>
      </c>
      <c r="B18" s="21">
        <f>'PF Client 130K'!B38</f>
        <v>254019.34921549336</v>
      </c>
      <c r="C18" s="21">
        <f>'PF Alt 70 LTV'!B38</f>
        <v>254019.34921549336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 x14ac:dyDescent="0.2">
      <c r="A19" s="57" t="s">
        <v>64</v>
      </c>
      <c r="B19" s="22">
        <f>'PF Client 130K'!B39</f>
        <v>0.94081240450182724</v>
      </c>
      <c r="C19" s="22">
        <f>'PF Alt 70 LTV'!B39</f>
        <v>0.94081240450182724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1:17" x14ac:dyDescent="0.2">
      <c r="A20" s="57" t="s">
        <v>65</v>
      </c>
      <c r="B20" s="2" t="str">
        <f>IF(B15&gt;=Inputs!B27,"YES","NO - below "&amp;TEXT(Inputs!B27,"0.00")&amp;"x")</f>
        <v>YES</v>
      </c>
      <c r="C20" s="2" t="str">
        <f>IF(C15&gt;=Inputs!C27,"YES","NO - below "&amp;TEXT(Inputs!C27,"0.00")&amp;"x")</f>
        <v>YES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x14ac:dyDescent="0.2">
      <c r="A21" s="54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1:17" x14ac:dyDescent="0.2">
      <c r="A22" s="61" t="s">
        <v>66</v>
      </c>
      <c r="B22" s="27"/>
      <c r="C22" s="28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x14ac:dyDescent="0.2">
      <c r="A23" s="59"/>
      <c r="B23" s="8" t="s">
        <v>121</v>
      </c>
      <c r="C23" s="8" t="s">
        <v>122</v>
      </c>
      <c r="D23" s="8" t="s">
        <v>123</v>
      </c>
      <c r="E23" s="8" t="s">
        <v>124</v>
      </c>
      <c r="F23" s="8" t="s">
        <v>125</v>
      </c>
      <c r="G23" s="8" t="s">
        <v>126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1:17" x14ac:dyDescent="0.2">
      <c r="A24" s="57" t="s">
        <v>67</v>
      </c>
      <c r="B24" s="23">
        <f>'PF Client 130K'!B42</f>
        <v>5</v>
      </c>
      <c r="C24" s="23">
        <f>'PF Client 130K'!C42</f>
        <v>8</v>
      </c>
      <c r="D24" s="23">
        <f>'PF Client 130K'!D42</f>
        <v>10</v>
      </c>
      <c r="E24" s="23">
        <f>'PF Alt 70 LTV'!B42</f>
        <v>5</v>
      </c>
      <c r="F24" s="23">
        <f>'PF Alt 70 LTV'!C42</f>
        <v>8</v>
      </c>
      <c r="G24" s="23">
        <f>'PF Alt 70 LTV'!D42</f>
        <v>10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x14ac:dyDescent="0.2">
      <c r="A25" s="57" t="s">
        <v>68</v>
      </c>
      <c r="B25" s="17">
        <f>'PF Client 130K'!B44</f>
        <v>446871.91425108089</v>
      </c>
      <c r="C25" s="17">
        <f>'PF Client 130K'!C44</f>
        <v>495588.35137469321</v>
      </c>
      <c r="D25" s="17">
        <f>'PF Client 130K'!D44</f>
        <v>530980.80338920595</v>
      </c>
      <c r="E25" s="17">
        <f>'PF Alt 70 LTV'!B44</f>
        <v>446871.91425108089</v>
      </c>
      <c r="F25" s="17">
        <f>'PF Alt 70 LTV'!C44</f>
        <v>495588.35137469321</v>
      </c>
      <c r="G25" s="17">
        <f>'PF Alt 70 LTV'!D44</f>
        <v>530980.80338920595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 x14ac:dyDescent="0.2">
      <c r="A26" s="57" t="s">
        <v>69</v>
      </c>
      <c r="B26" s="17">
        <f>'PF Client 130K'!B46</f>
        <v>-127212.24609238499</v>
      </c>
      <c r="C26" s="17">
        <f>'PF Client 130K'!C46</f>
        <v>-117199.19659466133</v>
      </c>
      <c r="D26" s="17">
        <f>'PF Client 130K'!D46</f>
        <v>-109307.92092943369</v>
      </c>
      <c r="E26" s="17">
        <f>'PF Alt 70 LTV'!B46</f>
        <v>-171736.53222471973</v>
      </c>
      <c r="F26" s="17">
        <f>'PF Alt 70 LTV'!C46</f>
        <v>-158218.9154027928</v>
      </c>
      <c r="G26" s="17">
        <f>'PF Alt 70 LTV'!D46</f>
        <v>-147565.69325473547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7" x14ac:dyDescent="0.2">
      <c r="A27" s="57" t="s">
        <v>70</v>
      </c>
      <c r="B27" s="17">
        <f>'PF Client 130K'!B47</f>
        <v>304019.1511599081</v>
      </c>
      <c r="C27" s="17">
        <f>'PF Client 130K'!C47</f>
        <v>361043.56248191762</v>
      </c>
      <c r="D27" s="17">
        <f>'PF Client 130K'!D47</f>
        <v>403088.5543411501</v>
      </c>
      <c r="E27" s="17">
        <f>'PF Alt 70 LTV'!B47</f>
        <v>259494.86502757334</v>
      </c>
      <c r="F27" s="17">
        <f>'PF Alt 70 LTV'!C47</f>
        <v>320023.84367378615</v>
      </c>
      <c r="G27" s="17">
        <f>'PF Alt 70 LTV'!D47</f>
        <v>364830.78201584832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x14ac:dyDescent="0.2">
      <c r="A28" s="57" t="s">
        <v>71</v>
      </c>
      <c r="B28" s="17">
        <f>'PF Client 130K'!B48</f>
        <v>83161.162605979829</v>
      </c>
      <c r="C28" s="17">
        <f>'PF Client 130K'!C48</f>
        <v>145514.10556547696</v>
      </c>
      <c r="D28" s="17">
        <f>'PF Client 130K'!D48</f>
        <v>192899.23123226216</v>
      </c>
      <c r="E28" s="17">
        <f>'PF Alt 70 LTV'!B48</f>
        <v>62848.363764728027</v>
      </c>
      <c r="F28" s="17">
        <f>'PF Alt 70 LTV'!C48</f>
        <v>113013.62741947408</v>
      </c>
      <c r="G28" s="17">
        <f>'PF Alt 70 LTV'!D48</f>
        <v>152273.63354975855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1:17" x14ac:dyDescent="0.2">
      <c r="A29" s="57" t="s">
        <v>72</v>
      </c>
      <c r="B29" s="17">
        <f>'PF Client 130K'!B49</f>
        <v>246730.31376588793</v>
      </c>
      <c r="C29" s="17">
        <f>'PF Client 130K'!C49</f>
        <v>366107.6680473946</v>
      </c>
      <c r="D29" s="17">
        <f>'PF Client 130K'!D49</f>
        <v>455537.7855734122</v>
      </c>
      <c r="E29" s="17">
        <f>'PF Alt 70 LTV'!B49</f>
        <v>230403.22879230138</v>
      </c>
      <c r="F29" s="17">
        <f>'PF Alt 70 LTV'!C49</f>
        <v>341097.47109326022</v>
      </c>
      <c r="G29" s="17">
        <f>'PF Alt 70 LTV'!D49</f>
        <v>425164.41556560691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x14ac:dyDescent="0.2">
      <c r="A30" s="58" t="s">
        <v>73</v>
      </c>
      <c r="B30" s="24">
        <f>'PF Client 130K'!B50</f>
        <v>2.7567128071618936</v>
      </c>
      <c r="C30" s="24">
        <f>'PF Client 130K'!C50</f>
        <v>3.6066761697927703</v>
      </c>
      <c r="D30" s="24">
        <f>'PF Client 130K'!D50</f>
        <v>4.2434160596184567</v>
      </c>
      <c r="E30" s="24">
        <f>'PF Alt 70 LTV'!B50</f>
        <v>3.5060172807515921</v>
      </c>
      <c r="F30" s="24">
        <f>'PF Alt 70 LTV'!C50</f>
        <v>4.7100007732571267</v>
      </c>
      <c r="G30" s="24">
        <f>'PF Alt 70 LTV'!D50</f>
        <v>5.624368235431878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x14ac:dyDescent="0.2">
      <c r="A31" s="58" t="s">
        <v>74</v>
      </c>
      <c r="B31" s="25">
        <f>'PF Client 130K'!B51</f>
        <v>0.25568275705108778</v>
      </c>
      <c r="C31" s="25">
        <f>'PF Client 130K'!C51</f>
        <v>0.21312170765420468</v>
      </c>
      <c r="D31" s="25">
        <f>'PF Client 130K'!D51</f>
        <v>0.19906170767077569</v>
      </c>
      <c r="E31" s="25">
        <f>'PF Alt 70 LTV'!B51</f>
        <v>0.32357463112548657</v>
      </c>
      <c r="F31" s="25">
        <f>'PF Alt 70 LTV'!C51</f>
        <v>0.26096370021343374</v>
      </c>
      <c r="G31" s="25">
        <f>'PF Alt 70 LTV'!D51</f>
        <v>0.24036179414670333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x14ac:dyDescent="0.2">
      <c r="A32" s="57" t="s">
        <v>75</v>
      </c>
      <c r="B32" s="19">
        <f>'PF Client 130K'!B52</f>
        <v>0.11842102186682779</v>
      </c>
      <c r="C32" s="19">
        <f>'PF Client 130K'!C52</f>
        <v>0.1295070359251308</v>
      </c>
      <c r="D32" s="19">
        <f>'PF Client 130K'!D52</f>
        <v>0.13734370326255763</v>
      </c>
      <c r="E32" s="19">
        <f>'PF Alt 70 LTV'!B52</f>
        <v>0.13671604038444207</v>
      </c>
      <c r="F32" s="19">
        <f>'PF Alt 70 LTV'!C52</f>
        <v>0.15365133160141678</v>
      </c>
      <c r="G32" s="19">
        <f>'PF Alt 70 LTV'!D52</f>
        <v>0.16562283396754249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x14ac:dyDescent="0.2">
      <c r="A33" s="57" t="s">
        <v>76</v>
      </c>
      <c r="B33" s="19">
        <f>'PF Client 130K'!B53</f>
        <v>0.65508116389289217</v>
      </c>
      <c r="C33" s="19">
        <f>'PF Client 130K'!C53</f>
        <v>0.83551241249886377</v>
      </c>
      <c r="D33" s="19">
        <f>'PF Client 130K'!D53</f>
        <v>0.96659556810817016</v>
      </c>
      <c r="E33" s="19">
        <f>'PF Alt 70 LTV'!B53</f>
        <v>0.65508116389289217</v>
      </c>
      <c r="F33" s="19">
        <f>'PF Alt 70 LTV'!C53</f>
        <v>0.83551241249886377</v>
      </c>
      <c r="G33" s="19">
        <f>'PF Alt 70 LTV'!D53</f>
        <v>0.96659556810817016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x14ac:dyDescent="0.2">
      <c r="A34" s="5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x14ac:dyDescent="0.2">
      <c r="A35" s="81" t="s">
        <v>77</v>
      </c>
      <c r="B35" s="16"/>
      <c r="C35" s="1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26" customHeight="1" x14ac:dyDescent="0.2">
      <c r="A36" s="29" t="s">
        <v>120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1:17" ht="26" customHeight="1" x14ac:dyDescent="0.2">
      <c r="A37" s="29" t="s">
        <v>78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1:17" x14ac:dyDescent="0.2">
      <c r="A38" s="29" t="s">
        <v>180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 spans="1:17" x14ac:dyDescent="0.2">
      <c r="A39" s="29" t="s">
        <v>79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 spans="1:17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1:17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 spans="1:17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</row>
    <row r="43" spans="1:17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 spans="1:17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 spans="1:17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 spans="1:17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 spans="1:17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1:17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1:15" x14ac:dyDescent="0.2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1:15" x14ac:dyDescent="0.2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1:15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spans="1:15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</row>
    <row r="53" spans="1:15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  <row r="54" spans="1:15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spans="1:15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</row>
    <row r="56" spans="1:15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</row>
    <row r="57" spans="1:15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</row>
    <row r="58" spans="1:15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spans="1:15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</row>
    <row r="60" spans="1:15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</row>
    <row r="61" spans="1:15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</row>
    <row r="62" spans="1:15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spans="1:15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</row>
    <row r="64" spans="1:15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</row>
    <row r="65" spans="1:15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</row>
    <row r="66" spans="1:15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spans="1:15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</row>
    <row r="68" spans="1:15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</row>
    <row r="69" spans="1:15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</row>
    <row r="70" spans="1:15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spans="1:15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</row>
    <row r="72" spans="1:15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</row>
    <row r="73" spans="1:15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</row>
    <row r="74" spans="1:15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spans="1:15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</row>
    <row r="76" spans="1:15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</row>
    <row r="77" spans="1:15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</row>
    <row r="78" spans="1:15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spans="1:15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</row>
    <row r="80" spans="1:15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</row>
    <row r="81" spans="1:15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</row>
    <row r="82" spans="1:15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spans="1:15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</row>
    <row r="84" spans="1:15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1:15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1:15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20"/>
  <sheetViews>
    <sheetView workbookViewId="0">
      <pane xSplit="1" ySplit="4" topLeftCell="B9" activePane="bottomRight" state="frozen"/>
      <selection pane="topRight"/>
      <selection pane="bottomLeft"/>
      <selection pane="bottomRight" activeCell="B23" sqref="B23"/>
    </sheetView>
  </sheetViews>
  <sheetFormatPr baseColWidth="10" defaultColWidth="8.83203125" defaultRowHeight="15" x14ac:dyDescent="0.2"/>
  <cols>
    <col min="1" max="1" width="42" customWidth="1"/>
    <col min="2" max="13" width="14" customWidth="1"/>
  </cols>
  <sheetData>
    <row r="1" spans="1:42" ht="18" x14ac:dyDescent="0.2">
      <c r="A1" s="53" t="s">
        <v>119</v>
      </c>
      <c r="B1" s="38"/>
      <c r="C1" s="39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</row>
    <row r="2" spans="1:42" x14ac:dyDescent="0.2">
      <c r="A2" s="54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42" x14ac:dyDescent="0.2">
      <c r="A3" s="62" t="s">
        <v>80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</row>
    <row r="4" spans="1:42" x14ac:dyDescent="0.2">
      <c r="A4" s="62" t="s">
        <v>81</v>
      </c>
      <c r="B4" s="42"/>
      <c r="C4" s="42">
        <v>1</v>
      </c>
      <c r="D4" s="42">
        <v>2</v>
      </c>
      <c r="E4" s="42">
        <v>3</v>
      </c>
      <c r="F4" s="42">
        <v>4</v>
      </c>
      <c r="G4" s="42">
        <v>5</v>
      </c>
      <c r="H4" s="42">
        <v>6</v>
      </c>
      <c r="I4" s="42">
        <v>7</v>
      </c>
      <c r="J4" s="42">
        <v>8</v>
      </c>
      <c r="K4" s="42">
        <v>9</v>
      </c>
      <c r="L4" s="42">
        <v>10</v>
      </c>
      <c r="M4" s="42">
        <v>11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</row>
    <row r="5" spans="1:42" x14ac:dyDescent="0.2">
      <c r="A5" s="59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</row>
    <row r="6" spans="1:42" x14ac:dyDescent="0.2">
      <c r="A6" s="57" t="s">
        <v>82</v>
      </c>
      <c r="B6" s="3"/>
      <c r="C6" s="15">
        <f>Inputs!$B$5*Inputs!$B$6*(1+Inputs!$B$8)^(C$4-1)</f>
        <v>28224</v>
      </c>
      <c r="D6" s="15">
        <f>Inputs!$B$5*Inputs!$B$6*(1+Inputs!$B$8)^(D$4-1)</f>
        <v>29211.839999999997</v>
      </c>
      <c r="E6" s="15">
        <f>Inputs!$B$5*Inputs!$B$6*(1+Inputs!$B$8)^(E$4-1)</f>
        <v>30234.254399999998</v>
      </c>
      <c r="F6" s="15">
        <f>Inputs!$B$5*Inputs!$B$6*(1+Inputs!$B$8)^(F$4-1)</f>
        <v>31292.453303999991</v>
      </c>
      <c r="G6" s="15">
        <f>Inputs!$B$5*Inputs!$B$6*(1+Inputs!$B$8)^(G$4-1)</f>
        <v>32387.689169639991</v>
      </c>
      <c r="H6" s="15">
        <f>Inputs!$B$5*Inputs!$B$6*(1+Inputs!$B$8)^(H$4-1)</f>
        <v>33521.258290577389</v>
      </c>
      <c r="I6" s="15">
        <f>Inputs!$B$5*Inputs!$B$6*(1+Inputs!$B$8)^(I$4-1)</f>
        <v>34694.502330747593</v>
      </c>
      <c r="J6" s="15">
        <f>Inputs!$B$5*Inputs!$B$6*(1+Inputs!$B$8)^(J$4-1)</f>
        <v>35908.809912323763</v>
      </c>
      <c r="K6" s="15">
        <f>Inputs!$B$5*Inputs!$B$6*(1+Inputs!$B$8)^(K$4-1)</f>
        <v>37165.618259255083</v>
      </c>
      <c r="L6" s="15">
        <f>Inputs!$B$5*Inputs!$B$6*(1+Inputs!$B$8)^(L$4-1)</f>
        <v>38466.414898329007</v>
      </c>
      <c r="M6" s="15">
        <f>Inputs!$B$5*Inputs!$B$6*(1+Inputs!$B$8)^(M$4-1)</f>
        <v>39812.739419770522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</row>
    <row r="7" spans="1:42" x14ac:dyDescent="0.2">
      <c r="A7" s="57" t="s">
        <v>83</v>
      </c>
      <c r="B7" s="3"/>
      <c r="C7" s="15">
        <f>-C6*Inputs!$B$10</f>
        <v>-846.71999999999991</v>
      </c>
      <c r="D7" s="15">
        <f>-D6*Inputs!$B$10</f>
        <v>-876.35519999999985</v>
      </c>
      <c r="E7" s="15">
        <f>-E6*Inputs!$B$10</f>
        <v>-907.02763199999993</v>
      </c>
      <c r="F7" s="15">
        <f>-F6*Inputs!$B$10</f>
        <v>-938.77359911999974</v>
      </c>
      <c r="G7" s="15">
        <f>-G6*Inputs!$B$10</f>
        <v>-971.63067508919971</v>
      </c>
      <c r="H7" s="15">
        <f>-H6*Inputs!$B$10</f>
        <v>-1005.6377487173216</v>
      </c>
      <c r="I7" s="15">
        <f>-I6*Inputs!$B$10</f>
        <v>-1040.8350699224277</v>
      </c>
      <c r="J7" s="15">
        <f>-J6*Inputs!$B$10</f>
        <v>-1077.2642973697129</v>
      </c>
      <c r="K7" s="15">
        <f>-K6*Inputs!$B$10</f>
        <v>-1114.9685477776525</v>
      </c>
      <c r="L7" s="15">
        <f>-L6*Inputs!$B$10</f>
        <v>-1153.9924469498701</v>
      </c>
      <c r="M7" s="15">
        <f>-M6*Inputs!$B$10</f>
        <v>-1194.3821825931157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</row>
    <row r="8" spans="1:42" x14ac:dyDescent="0.2">
      <c r="A8" s="57" t="s">
        <v>84</v>
      </c>
      <c r="B8" s="3"/>
      <c r="C8" s="15">
        <f>Inputs!$B$5*Inputs!$B$7*(1+Inputs!$B$9)^(C$4-1)*Inputs!$B$11</f>
        <v>9072</v>
      </c>
      <c r="D8" s="15">
        <f>Inputs!$B$5*Inputs!$B$7*(1+Inputs!$B$9)^(D$4-1)*Inputs!$B$11</f>
        <v>9344.16</v>
      </c>
      <c r="E8" s="15">
        <f>Inputs!$B$5*Inputs!$B$7*(1+Inputs!$B$9)^(E$4-1)*Inputs!$B$11</f>
        <v>9624.4848000000002</v>
      </c>
      <c r="F8" s="15">
        <f>Inputs!$B$5*Inputs!$B$7*(1+Inputs!$B$9)^(F$4-1)*Inputs!$B$11</f>
        <v>9913.2193439999992</v>
      </c>
      <c r="G8" s="15">
        <f>Inputs!$B$5*Inputs!$B$7*(1+Inputs!$B$9)^(G$4-1)*Inputs!$B$11</f>
        <v>10210.61592432</v>
      </c>
      <c r="H8" s="15">
        <f>Inputs!$B$5*Inputs!$B$7*(1+Inputs!$B$9)^(H$4-1)*Inputs!$B$11</f>
        <v>10516.934402049599</v>
      </c>
      <c r="I8" s="15">
        <f>Inputs!$B$5*Inputs!$B$7*(1+Inputs!$B$9)^(I$4-1)*Inputs!$B$11</f>
        <v>10832.442434111088</v>
      </c>
      <c r="J8" s="15">
        <f>Inputs!$B$5*Inputs!$B$7*(1+Inputs!$B$9)^(J$4-1)*Inputs!$B$11</f>
        <v>11157.41570713442</v>
      </c>
      <c r="K8" s="15">
        <f>Inputs!$B$5*Inputs!$B$7*(1+Inputs!$B$9)^(K$4-1)*Inputs!$B$11</f>
        <v>11492.138178348452</v>
      </c>
      <c r="L8" s="15">
        <f>Inputs!$B$5*Inputs!$B$7*(1+Inputs!$B$9)^(L$4-1)*Inputs!$B$11</f>
        <v>11836.902323698905</v>
      </c>
      <c r="M8" s="15">
        <f>Inputs!$B$5*Inputs!$B$7*(1+Inputs!$B$9)^(M$4-1)*Inputs!$B$11</f>
        <v>12192.009393409873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</row>
    <row r="9" spans="1:42" x14ac:dyDescent="0.2">
      <c r="A9" s="58" t="s">
        <v>85</v>
      </c>
      <c r="B9" s="3"/>
      <c r="C9" s="121">
        <f t="shared" ref="C9:M9" si="0">SUM(C6:C8)</f>
        <v>36449.279999999999</v>
      </c>
      <c r="D9" s="121">
        <f t="shared" si="0"/>
        <v>37679.644799999995</v>
      </c>
      <c r="E9" s="121">
        <f t="shared" si="0"/>
        <v>38951.711567999999</v>
      </c>
      <c r="F9" s="121">
        <f t="shared" si="0"/>
        <v>40266.89904887999</v>
      </c>
      <c r="G9" s="121">
        <f t="shared" si="0"/>
        <v>41626.674418870789</v>
      </c>
      <c r="H9" s="121">
        <f t="shared" si="0"/>
        <v>43032.554943909665</v>
      </c>
      <c r="I9" s="121">
        <f t="shared" si="0"/>
        <v>44486.109694936255</v>
      </c>
      <c r="J9" s="121">
        <f t="shared" si="0"/>
        <v>45988.961322088464</v>
      </c>
      <c r="K9" s="121">
        <f t="shared" si="0"/>
        <v>47542.787889825886</v>
      </c>
      <c r="L9" s="121">
        <f t="shared" si="0"/>
        <v>49149.324775078043</v>
      </c>
      <c r="M9" s="121">
        <f t="shared" si="0"/>
        <v>50810.366630587276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</row>
    <row r="10" spans="1:42" x14ac:dyDescent="0.2">
      <c r="A10" s="5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</row>
    <row r="11" spans="1:42" x14ac:dyDescent="0.2">
      <c r="A11" s="57" t="s">
        <v>86</v>
      </c>
      <c r="B11" s="3"/>
      <c r="C11" s="15">
        <f>-Inputs!$B$5*Inputs!$B$7*(1+Inputs!$B$9)^(C$4-1)</f>
        <v>-9072</v>
      </c>
      <c r="D11" s="15">
        <f>-Inputs!$B$5*Inputs!$B$7*(1+Inputs!$B$9)^(D$4-1)</f>
        <v>-9344.16</v>
      </c>
      <c r="E11" s="15">
        <f>-Inputs!$B$5*Inputs!$B$7*(1+Inputs!$B$9)^(E$4-1)</f>
        <v>-9624.4848000000002</v>
      </c>
      <c r="F11" s="15">
        <f>-Inputs!$B$5*Inputs!$B$7*(1+Inputs!$B$9)^(F$4-1)</f>
        <v>-9913.2193439999992</v>
      </c>
      <c r="G11" s="15">
        <f>-Inputs!$B$5*Inputs!$B$7*(1+Inputs!$B$9)^(G$4-1)</f>
        <v>-10210.61592432</v>
      </c>
      <c r="H11" s="15">
        <f>-Inputs!$B$5*Inputs!$B$7*(1+Inputs!$B$9)^(H$4-1)</f>
        <v>-10516.934402049599</v>
      </c>
      <c r="I11" s="15">
        <f>-Inputs!$B$5*Inputs!$B$7*(1+Inputs!$B$9)^(I$4-1)</f>
        <v>-10832.442434111088</v>
      </c>
      <c r="J11" s="15">
        <f>-Inputs!$B$5*Inputs!$B$7*(1+Inputs!$B$9)^(J$4-1)</f>
        <v>-11157.41570713442</v>
      </c>
      <c r="K11" s="15">
        <f>-Inputs!$B$5*Inputs!$B$7*(1+Inputs!$B$9)^(K$4-1)</f>
        <v>-11492.138178348452</v>
      </c>
      <c r="L11" s="15">
        <f>-Inputs!$B$5*Inputs!$B$7*(1+Inputs!$B$9)^(L$4-1)</f>
        <v>-11836.902323698905</v>
      </c>
      <c r="M11" s="15">
        <f>-Inputs!$B$5*Inputs!$B$7*(1+Inputs!$B$9)^(M$4-1)</f>
        <v>-12192.009393409873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</row>
    <row r="12" spans="1:42" x14ac:dyDescent="0.2">
      <c r="A12" s="57" t="s">
        <v>87</v>
      </c>
      <c r="B12" s="3"/>
      <c r="C12" s="15">
        <f>-(C6+C7)*Inputs!$B$12</f>
        <v>-547.54560000000004</v>
      </c>
      <c r="D12" s="15">
        <f>-(D6+D7)*Inputs!$B$12</f>
        <v>-566.70969600000001</v>
      </c>
      <c r="E12" s="15">
        <f>-(E6+E7)*Inputs!$B$12</f>
        <v>-586.54453535999994</v>
      </c>
      <c r="F12" s="15">
        <f>-(F6+F7)*Inputs!$B$12</f>
        <v>-607.07359409759988</v>
      </c>
      <c r="G12" s="15">
        <f>-(G6+G7)*Inputs!$B$12</f>
        <v>-628.32116989101587</v>
      </c>
      <c r="H12" s="15">
        <f>-(H6+H7)*Inputs!$B$12</f>
        <v>-650.31241083720136</v>
      </c>
      <c r="I12" s="15">
        <f>-(I6+I7)*Inputs!$B$12</f>
        <v>-673.07334521650341</v>
      </c>
      <c r="J12" s="15">
        <f>-(J6+J7)*Inputs!$B$12</f>
        <v>-696.63091229908093</v>
      </c>
      <c r="K12" s="15">
        <f>-(K6+K7)*Inputs!$B$12</f>
        <v>-721.01299422954867</v>
      </c>
      <c r="L12" s="15">
        <f>-(L6+L7)*Inputs!$B$12</f>
        <v>-746.24844902758275</v>
      </c>
      <c r="M12" s="15">
        <f>-(M6+M7)*Inputs!$B$12</f>
        <v>-772.36714474354812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</row>
    <row r="13" spans="1:42" x14ac:dyDescent="0.2">
      <c r="A13" s="57" t="s">
        <v>88</v>
      </c>
      <c r="B13" s="3"/>
      <c r="C13" s="15">
        <f>-Inputs!$B$5*Inputs!$B$13*(1+Inputs!$B$9)^(C$4-1)</f>
        <v>-201.60000000000002</v>
      </c>
      <c r="D13" s="15">
        <f>-Inputs!$B$5*Inputs!$B$13*(1+Inputs!$B$9)^(D$4-1)</f>
        <v>-207.64800000000002</v>
      </c>
      <c r="E13" s="15">
        <f>-Inputs!$B$5*Inputs!$B$13*(1+Inputs!$B$9)^(E$4-1)</f>
        <v>-213.87744000000001</v>
      </c>
      <c r="F13" s="15">
        <f>-Inputs!$B$5*Inputs!$B$13*(1+Inputs!$B$9)^(F$4-1)</f>
        <v>-220.29376320000003</v>
      </c>
      <c r="G13" s="15">
        <f>-Inputs!$B$5*Inputs!$B$13*(1+Inputs!$B$9)^(G$4-1)</f>
        <v>-226.90257609600002</v>
      </c>
      <c r="H13" s="15">
        <f>-Inputs!$B$5*Inputs!$B$13*(1+Inputs!$B$9)^(H$4-1)</f>
        <v>-233.70965337888001</v>
      </c>
      <c r="I13" s="15">
        <f>-Inputs!$B$5*Inputs!$B$13*(1+Inputs!$B$9)^(I$4-1)</f>
        <v>-240.72094298024641</v>
      </c>
      <c r="J13" s="15">
        <f>-Inputs!$B$5*Inputs!$B$13*(1+Inputs!$B$9)^(J$4-1)</f>
        <v>-247.94257126965383</v>
      </c>
      <c r="K13" s="15">
        <f>-Inputs!$B$5*Inputs!$B$13*(1+Inputs!$B$9)^(K$4-1)</f>
        <v>-255.3808484077434</v>
      </c>
      <c r="L13" s="15">
        <f>-Inputs!$B$5*Inputs!$B$13*(1+Inputs!$B$9)^(L$4-1)</f>
        <v>-263.04227385997569</v>
      </c>
      <c r="M13" s="15">
        <f>-Inputs!$B$5*Inputs!$B$13*(1+Inputs!$B$9)^(M$4-1)</f>
        <v>-270.93354207577499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</row>
    <row r="14" spans="1:42" x14ac:dyDescent="0.2">
      <c r="A14" s="57" t="s">
        <v>89</v>
      </c>
      <c r="B14" s="3"/>
      <c r="C14" s="15">
        <f>-Inputs!$B$5*Inputs!$B$14*(1+Inputs!$B$9)^(C$4-1)</f>
        <v>-302.39999999999998</v>
      </c>
      <c r="D14" s="15">
        <f>-Inputs!$B$5*Inputs!$B$14*(1+Inputs!$B$9)^(D$4-1)</f>
        <v>-311.47199999999998</v>
      </c>
      <c r="E14" s="15">
        <f>-Inputs!$B$5*Inputs!$B$14*(1+Inputs!$B$9)^(E$4-1)</f>
        <v>-320.81615999999997</v>
      </c>
      <c r="F14" s="15">
        <f>-Inputs!$B$5*Inputs!$B$14*(1+Inputs!$B$9)^(F$4-1)</f>
        <v>-330.44064479999997</v>
      </c>
      <c r="G14" s="15">
        <f>-Inputs!$B$5*Inputs!$B$14*(1+Inputs!$B$9)^(G$4-1)</f>
        <v>-340.35386414399994</v>
      </c>
      <c r="H14" s="15">
        <f>-Inputs!$B$5*Inputs!$B$14*(1+Inputs!$B$9)^(H$4-1)</f>
        <v>-350.56448006831994</v>
      </c>
      <c r="I14" s="15">
        <f>-Inputs!$B$5*Inputs!$B$14*(1+Inputs!$B$9)^(I$4-1)</f>
        <v>-361.08141447036957</v>
      </c>
      <c r="J14" s="15">
        <f>-Inputs!$B$5*Inputs!$B$14*(1+Inputs!$B$9)^(J$4-1)</f>
        <v>-371.91385690448067</v>
      </c>
      <c r="K14" s="15">
        <f>-Inputs!$B$5*Inputs!$B$14*(1+Inputs!$B$9)^(K$4-1)</f>
        <v>-383.07127261161503</v>
      </c>
      <c r="L14" s="15">
        <f>-Inputs!$B$5*Inputs!$B$14*(1+Inputs!$B$9)^(L$4-1)</f>
        <v>-394.56341078996348</v>
      </c>
      <c r="M14" s="15">
        <f>-Inputs!$B$5*Inputs!$B$14*(1+Inputs!$B$9)^(M$4-1)</f>
        <v>-406.40031311366238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</row>
    <row r="15" spans="1:42" x14ac:dyDescent="0.2">
      <c r="A15" s="58" t="s">
        <v>90</v>
      </c>
      <c r="B15" s="3"/>
      <c r="C15" s="121">
        <f t="shared" ref="C15:M15" si="1">SUM(C11:C14)</f>
        <v>-10123.545599999999</v>
      </c>
      <c r="D15" s="121">
        <f t="shared" si="1"/>
        <v>-10429.989695999999</v>
      </c>
      <c r="E15" s="121">
        <f t="shared" si="1"/>
        <v>-10745.722935360001</v>
      </c>
      <c r="F15" s="121">
        <f t="shared" si="1"/>
        <v>-11071.027346097599</v>
      </c>
      <c r="G15" s="121">
        <f t="shared" si="1"/>
        <v>-11406.193534451015</v>
      </c>
      <c r="H15" s="121">
        <f t="shared" si="1"/>
        <v>-11751.520946334002</v>
      </c>
      <c r="I15" s="121">
        <f t="shared" si="1"/>
        <v>-12107.318136778207</v>
      </c>
      <c r="J15" s="121">
        <f t="shared" si="1"/>
        <v>-12473.903047607635</v>
      </c>
      <c r="K15" s="121">
        <f t="shared" si="1"/>
        <v>-12851.603293597358</v>
      </c>
      <c r="L15" s="121">
        <f t="shared" si="1"/>
        <v>-13240.756457376427</v>
      </c>
      <c r="M15" s="121">
        <f t="shared" si="1"/>
        <v>-13641.710393342859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</row>
    <row r="16" spans="1:42" x14ac:dyDescent="0.2">
      <c r="A16" s="60" t="s">
        <v>91</v>
      </c>
      <c r="B16" s="3"/>
      <c r="C16" s="122">
        <f t="shared" ref="C16:M16" si="2">C9+C15</f>
        <v>26325.734400000001</v>
      </c>
      <c r="D16" s="122">
        <f t="shared" si="2"/>
        <v>27249.655103999998</v>
      </c>
      <c r="E16" s="122">
        <f t="shared" si="2"/>
        <v>28205.988632639997</v>
      </c>
      <c r="F16" s="122">
        <f t="shared" si="2"/>
        <v>29195.871702782391</v>
      </c>
      <c r="G16" s="122">
        <f t="shared" si="2"/>
        <v>30220.480884419776</v>
      </c>
      <c r="H16" s="122">
        <f t="shared" si="2"/>
        <v>31281.033997575665</v>
      </c>
      <c r="I16" s="122">
        <f t="shared" si="2"/>
        <v>32378.791558158046</v>
      </c>
      <c r="J16" s="122">
        <f t="shared" si="2"/>
        <v>33515.058274480827</v>
      </c>
      <c r="K16" s="122">
        <f t="shared" si="2"/>
        <v>34691.18459622853</v>
      </c>
      <c r="L16" s="122">
        <f t="shared" si="2"/>
        <v>35908.568317701618</v>
      </c>
      <c r="M16" s="122">
        <f t="shared" si="2"/>
        <v>37168.656237244417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</row>
    <row r="17" spans="1:42" x14ac:dyDescent="0.2">
      <c r="A17" s="5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</row>
    <row r="18" spans="1:42" x14ac:dyDescent="0.2">
      <c r="A18" s="57" t="s">
        <v>57</v>
      </c>
      <c r="B18" s="3"/>
      <c r="C18" s="15">
        <f t="shared" ref="C18:L18" si="3">-$B$35</f>
        <v>-11607.313623572467</v>
      </c>
      <c r="D18" s="15">
        <f t="shared" si="3"/>
        <v>-11607.313623572467</v>
      </c>
      <c r="E18" s="15">
        <f t="shared" si="3"/>
        <v>-11607.313623572467</v>
      </c>
      <c r="F18" s="15">
        <f t="shared" si="3"/>
        <v>-11607.313623572467</v>
      </c>
      <c r="G18" s="15">
        <f t="shared" si="3"/>
        <v>-11607.313623572467</v>
      </c>
      <c r="H18" s="15">
        <f t="shared" si="3"/>
        <v>-11607.313623572467</v>
      </c>
      <c r="I18" s="15">
        <f t="shared" si="3"/>
        <v>-11607.313623572467</v>
      </c>
      <c r="J18" s="15">
        <f t="shared" si="3"/>
        <v>-11607.313623572467</v>
      </c>
      <c r="K18" s="15">
        <f t="shared" si="3"/>
        <v>-11607.313623572467</v>
      </c>
      <c r="L18" s="15">
        <f t="shared" si="3"/>
        <v>-11607.313623572467</v>
      </c>
      <c r="M18" s="3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</row>
    <row r="19" spans="1:42" x14ac:dyDescent="0.2">
      <c r="A19" s="57" t="s">
        <v>92</v>
      </c>
      <c r="B19" s="3"/>
      <c r="C19" s="15">
        <f>FV(Inputs!$B$22/12,12*C$4,$B$34,-$B$32)</f>
        <v>137774.67709410959</v>
      </c>
      <c r="D19" s="15">
        <f>FV(Inputs!$B$22/12,12*D$4,$B$34,-$B$32)</f>
        <v>135394.40954607606</v>
      </c>
      <c r="E19" s="15">
        <f>FV(Inputs!$B$22/12,12*E$4,$B$34,-$B$32)</f>
        <v>132848.40888018414</v>
      </c>
      <c r="F19" s="15">
        <f>FV(Inputs!$B$22/12,12*F$4,$B$34,-$B$32)</f>
        <v>130125.13544141568</v>
      </c>
      <c r="G19" s="15">
        <f>FV(Inputs!$B$22/12,12*G$4,$B$34,-$B$32)</f>
        <v>127212.24609238499</v>
      </c>
      <c r="H19" s="15">
        <f>FV(Inputs!$B$22/12,12*H$4,$B$34,-$B$32)</f>
        <v>124096.5382685193</v>
      </c>
      <c r="I19" s="15">
        <f>FV(Inputs!$B$22/12,12*I$4,$B$34,-$B$32)</f>
        <v>120763.89013791717</v>
      </c>
      <c r="J19" s="15">
        <f>FV(Inputs!$B$22/12,12*J$4,$B$34,-$B$32)</f>
        <v>117199.19659466133</v>
      </c>
      <c r="K19" s="15">
        <f>FV(Inputs!$B$22/12,12*K$4,$B$34,-$B$32)</f>
        <v>113386.30079547773</v>
      </c>
      <c r="L19" s="15">
        <f>FV(Inputs!$B$22/12,12*L$4,$B$34,-$B$32)</f>
        <v>109307.92092943369</v>
      </c>
      <c r="M19" s="3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</row>
    <row r="20" spans="1:42" x14ac:dyDescent="0.2">
      <c r="A20" s="57" t="s">
        <v>93</v>
      </c>
      <c r="B20" s="3"/>
      <c r="C20" s="15">
        <f>$B$32-C19</f>
        <v>2225.3229058904108</v>
      </c>
      <c r="D20" s="15">
        <f t="shared" ref="D20:L20" si="4">C19-D19</f>
        <v>2380.2675480335311</v>
      </c>
      <c r="E20" s="15">
        <f t="shared" si="4"/>
        <v>2546.0006658919156</v>
      </c>
      <c r="F20" s="15">
        <f t="shared" si="4"/>
        <v>2723.2734387684613</v>
      </c>
      <c r="G20" s="15">
        <f t="shared" si="4"/>
        <v>2912.8893490306946</v>
      </c>
      <c r="H20" s="15">
        <f t="shared" si="4"/>
        <v>3115.7078238656832</v>
      </c>
      <c r="I20" s="15">
        <f t="shared" si="4"/>
        <v>3332.6481306021305</v>
      </c>
      <c r="J20" s="15">
        <f t="shared" si="4"/>
        <v>3564.6935432558384</v>
      </c>
      <c r="K20" s="15">
        <f t="shared" si="4"/>
        <v>3812.8957991836069</v>
      </c>
      <c r="L20" s="15">
        <f t="shared" si="4"/>
        <v>4078.379866044037</v>
      </c>
      <c r="M20" s="3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</row>
    <row r="21" spans="1:42" x14ac:dyDescent="0.2">
      <c r="A21" s="57" t="s">
        <v>94</v>
      </c>
      <c r="B21" s="3"/>
      <c r="C21" s="15">
        <f t="shared" ref="C21:L21" si="5">-C18-C20</f>
        <v>9381.9907176820561</v>
      </c>
      <c r="D21" s="15">
        <f t="shared" si="5"/>
        <v>9227.0460755389358</v>
      </c>
      <c r="E21" s="15">
        <f t="shared" si="5"/>
        <v>9061.3129576805513</v>
      </c>
      <c r="F21" s="15">
        <f t="shared" si="5"/>
        <v>8884.0401848040055</v>
      </c>
      <c r="G21" s="15">
        <f t="shared" si="5"/>
        <v>8694.4242745417723</v>
      </c>
      <c r="H21" s="15">
        <f t="shared" si="5"/>
        <v>8491.6057997067837</v>
      </c>
      <c r="I21" s="15">
        <f t="shared" si="5"/>
        <v>8274.6654929703363</v>
      </c>
      <c r="J21" s="15">
        <f t="shared" si="5"/>
        <v>8042.6200803166284</v>
      </c>
      <c r="K21" s="15">
        <f t="shared" si="5"/>
        <v>7794.41782438886</v>
      </c>
      <c r="L21" s="15">
        <f t="shared" si="5"/>
        <v>7528.9337575284299</v>
      </c>
      <c r="M21" s="3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</row>
    <row r="22" spans="1:42" x14ac:dyDescent="0.2">
      <c r="A22" s="57" t="s">
        <v>95</v>
      </c>
      <c r="B22" s="3"/>
      <c r="C22" s="41">
        <f t="shared" ref="C22:L22" si="6">IFERROR(C16/-C18,0)</f>
        <v>2.2680299037097562</v>
      </c>
      <c r="D22" s="41">
        <f t="shared" si="6"/>
        <v>2.3476280548378234</v>
      </c>
      <c r="E22" s="41">
        <f t="shared" si="6"/>
        <v>2.4300186543903202</v>
      </c>
      <c r="F22" s="41">
        <f t="shared" si="6"/>
        <v>2.515299633456149</v>
      </c>
      <c r="G22" s="41">
        <f t="shared" si="6"/>
        <v>2.6035723565741478</v>
      </c>
      <c r="H22" s="41">
        <f t="shared" si="6"/>
        <v>2.6949417420796866</v>
      </c>
      <c r="I22" s="41">
        <f t="shared" si="6"/>
        <v>2.7895163866686832</v>
      </c>
      <c r="J22" s="41">
        <f t="shared" si="6"/>
        <v>2.8874086943267803</v>
      </c>
      <c r="K22" s="41">
        <f t="shared" si="6"/>
        <v>2.9887350097766525</v>
      </c>
      <c r="L22" s="41">
        <f t="shared" si="6"/>
        <v>3.0936157566017224</v>
      </c>
      <c r="M22" s="3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</row>
    <row r="23" spans="1:42" x14ac:dyDescent="0.2">
      <c r="A23" s="60" t="s">
        <v>96</v>
      </c>
      <c r="B23" s="3"/>
      <c r="C23" s="122">
        <f t="shared" ref="C23:L23" si="7">C16+C18</f>
        <v>14718.420776427534</v>
      </c>
      <c r="D23" s="122">
        <f t="shared" si="7"/>
        <v>15642.341480427531</v>
      </c>
      <c r="E23" s="122">
        <f t="shared" si="7"/>
        <v>16598.67500906753</v>
      </c>
      <c r="F23" s="122">
        <f t="shared" si="7"/>
        <v>17588.558079209924</v>
      </c>
      <c r="G23" s="122">
        <f t="shared" si="7"/>
        <v>18613.167260847309</v>
      </c>
      <c r="H23" s="122">
        <f t="shared" si="7"/>
        <v>19673.720374003198</v>
      </c>
      <c r="I23" s="122">
        <f t="shared" si="7"/>
        <v>20771.477934585579</v>
      </c>
      <c r="J23" s="122">
        <f t="shared" si="7"/>
        <v>21907.74465090836</v>
      </c>
      <c r="K23" s="122">
        <f t="shared" si="7"/>
        <v>23083.870972656063</v>
      </c>
      <c r="L23" s="122">
        <f t="shared" si="7"/>
        <v>24301.254694129151</v>
      </c>
      <c r="M23" s="3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</row>
    <row r="24" spans="1:42" x14ac:dyDescent="0.2">
      <c r="A24" s="57" t="s">
        <v>97</v>
      </c>
      <c r="B24" s="3"/>
      <c r="C24" s="124">
        <f t="shared" ref="C24:L24" si="8">IFERROR(C23/$B$33,0)</f>
        <v>0.10479473674921705</v>
      </c>
      <c r="D24" s="124">
        <f t="shared" si="8"/>
        <v>0.11137302584854063</v>
      </c>
      <c r="E24" s="124">
        <f t="shared" si="8"/>
        <v>0.11818209333618747</v>
      </c>
      <c r="F24" s="124">
        <f t="shared" si="8"/>
        <v>0.12523003260384424</v>
      </c>
      <c r="G24" s="124">
        <f t="shared" si="8"/>
        <v>0.13252522079634965</v>
      </c>
      <c r="H24" s="124">
        <f t="shared" si="8"/>
        <v>0.14007632875758774</v>
      </c>
      <c r="I24" s="124">
        <f t="shared" si="8"/>
        <v>0.14789233132492402</v>
      </c>
      <c r="J24" s="124">
        <f t="shared" si="8"/>
        <v>0.15598251798439558</v>
      </c>
      <c r="K24" s="124">
        <f t="shared" si="8"/>
        <v>0.16435650389929557</v>
      </c>
      <c r="L24" s="124">
        <f t="shared" si="8"/>
        <v>0.17302424132523425</v>
      </c>
      <c r="M24" s="3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</row>
    <row r="25" spans="1:42" x14ac:dyDescent="0.2">
      <c r="A25" s="54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</row>
    <row r="26" spans="1:42" x14ac:dyDescent="0.2">
      <c r="A26" s="54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</row>
    <row r="27" spans="1:42" x14ac:dyDescent="0.2">
      <c r="A27" s="61" t="s">
        <v>98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</row>
    <row r="28" spans="1:42" x14ac:dyDescent="0.2">
      <c r="A28" s="77" t="s">
        <v>51</v>
      </c>
      <c r="B28" s="126">
        <f>Inputs!$B$4</f>
        <v>270000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42" x14ac:dyDescent="0.2">
      <c r="A29" s="57" t="s">
        <v>99</v>
      </c>
      <c r="B29" s="15">
        <f>B28*Inputs!$B$15</f>
        <v>4050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42" x14ac:dyDescent="0.2">
      <c r="A30" s="57" t="s">
        <v>100</v>
      </c>
      <c r="B30" s="15">
        <f>B32*Inputs!$B$25+Inputs!$B$26</f>
        <v>6400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 spans="1:42" x14ac:dyDescent="0.2">
      <c r="A31" s="58" t="s">
        <v>101</v>
      </c>
      <c r="B31" s="121">
        <f>SUM(B28:B30)</f>
        <v>280450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42" x14ac:dyDescent="0.2">
      <c r="A32" s="57" t="s">
        <v>54</v>
      </c>
      <c r="B32" s="15">
        <f>Inputs!$B$21</f>
        <v>140000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 spans="1:34" x14ac:dyDescent="0.2">
      <c r="A33" s="58" t="s">
        <v>102</v>
      </c>
      <c r="B33" s="121">
        <f>B31-B32</f>
        <v>140450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2">
      <c r="A34" s="57" t="s">
        <v>103</v>
      </c>
      <c r="B34" s="15">
        <f>PMT(Inputs!$B$22/12,Inputs!$B$23*12,-B32)</f>
        <v>967.27613529770554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</row>
    <row r="35" spans="1:34" x14ac:dyDescent="0.2">
      <c r="A35" s="57" t="s">
        <v>57</v>
      </c>
      <c r="B35" s="15">
        <f>B34*12</f>
        <v>11607.313623572467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x14ac:dyDescent="0.2">
      <c r="A36" s="57" t="s">
        <v>104</v>
      </c>
      <c r="B36" s="123">
        <f>C16/B28</f>
        <v>9.7502720000000001E-2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</row>
    <row r="37" spans="1:34" x14ac:dyDescent="0.2">
      <c r="A37" s="57" t="s">
        <v>55</v>
      </c>
      <c r="B37" s="123">
        <f>B32/B28</f>
        <v>0.51851851851851849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2">
      <c r="A38" s="57" t="s">
        <v>105</v>
      </c>
      <c r="B38" s="15">
        <f>PV(Inputs!$B$22/12,Inputs!$B$23*12,-(C16/Inputs!$B$27)/12)</f>
        <v>254019.34921549336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2">
      <c r="A39" s="57" t="s">
        <v>106</v>
      </c>
      <c r="B39" s="124">
        <f>B38/B28</f>
        <v>0.94081240450182724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2">
      <c r="A40" s="5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2">
      <c r="A41" s="61" t="s">
        <v>107</v>
      </c>
      <c r="B41" s="74"/>
      <c r="C41" s="27"/>
      <c r="D41" s="28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2">
      <c r="A42" s="62" t="s">
        <v>108</v>
      </c>
      <c r="B42" s="46">
        <f>Inputs!$B$32</f>
        <v>5</v>
      </c>
      <c r="C42" s="46">
        <f>Inputs!$B$33</f>
        <v>8</v>
      </c>
      <c r="D42" s="46">
        <f>Inputs!$B$34</f>
        <v>10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2">
      <c r="A43" s="57" t="s">
        <v>109</v>
      </c>
      <c r="B43" s="15">
        <f>INDEX($C$16:$M$16,B$42+1)</f>
        <v>31281.033997575665</v>
      </c>
      <c r="C43" s="15">
        <f>INDEX($C$16:$M$16,C$42+1)</f>
        <v>34691.18459622853</v>
      </c>
      <c r="D43" s="15">
        <f>INDEX($C$16:$M$16,D$42+1)</f>
        <v>37168.656237244417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2">
      <c r="A44" s="57" t="s">
        <v>110</v>
      </c>
      <c r="B44" s="15">
        <f>B43/Inputs!$B$30</f>
        <v>446871.91425108089</v>
      </c>
      <c r="C44" s="15">
        <f>C43/Inputs!$B$30</f>
        <v>495588.35137469321</v>
      </c>
      <c r="D44" s="15">
        <f>D43/Inputs!$B$30</f>
        <v>530980.80338920595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2">
      <c r="A45" s="57" t="s">
        <v>111</v>
      </c>
      <c r="B45" s="15">
        <f>-B44*Inputs!$B$31</f>
        <v>-15640.516998787833</v>
      </c>
      <c r="C45" s="15">
        <f>-C44*Inputs!$B$31</f>
        <v>-17345.592298114265</v>
      </c>
      <c r="D45" s="15">
        <f>-D44*Inputs!$B$31</f>
        <v>-18584.328118622208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2">
      <c r="A46" s="57" t="s">
        <v>112</v>
      </c>
      <c r="B46" s="15">
        <f>-INDEX($C$19:$L$19,B$42)</f>
        <v>-127212.24609238499</v>
      </c>
      <c r="C46" s="15">
        <f>-INDEX($C$19:$L$19,C$42)</f>
        <v>-117199.19659466133</v>
      </c>
      <c r="D46" s="15">
        <f>-INDEX($C$19:$L$19,D$42)</f>
        <v>-109307.92092943369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2">
      <c r="A47" s="58" t="s">
        <v>70</v>
      </c>
      <c r="B47" s="121">
        <f>SUM(B44:B46)</f>
        <v>304019.1511599081</v>
      </c>
      <c r="C47" s="121">
        <f>SUM(C44:C46)</f>
        <v>361043.56248191762</v>
      </c>
      <c r="D47" s="121">
        <f>SUM(D44:D46)</f>
        <v>403088.5543411501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2">
      <c r="A48" s="57" t="s">
        <v>71</v>
      </c>
      <c r="B48" s="15">
        <f>SUMPRODUCT(($C$4:$L$4&lt;=B$42)*$C$23:$L$23)</f>
        <v>83161.162605979829</v>
      </c>
      <c r="C48" s="15">
        <f>SUMPRODUCT(($C$4:$L$4&lt;=C$42)*$C$23:$L$23)</f>
        <v>145514.10556547696</v>
      </c>
      <c r="D48" s="15">
        <f>SUMPRODUCT(($C$4:$L$4&lt;=D$42)*$C$23:$L$23)</f>
        <v>192899.23123226216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2">
      <c r="A49" s="58" t="s">
        <v>113</v>
      </c>
      <c r="B49" s="121">
        <f>B47+B48-$B$33</f>
        <v>246730.31376588793</v>
      </c>
      <c r="C49" s="121">
        <f>C47+C48-$B$33</f>
        <v>366107.6680473946</v>
      </c>
      <c r="D49" s="121">
        <f>D47+D48-$B$33</f>
        <v>455537.7855734122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  <row r="50" spans="1:34" x14ac:dyDescent="0.2">
      <c r="A50" s="58" t="s">
        <v>73</v>
      </c>
      <c r="B50" s="40">
        <f>(B47+B48)/$B$33</f>
        <v>2.7567128071618936</v>
      </c>
      <c r="C50" s="40">
        <f>(C47+C48)/$B$33</f>
        <v>3.6066761697927703</v>
      </c>
      <c r="D50" s="40">
        <f>(D47+D48)/$B$33</f>
        <v>4.2434160596184567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</row>
    <row r="51" spans="1:34" x14ac:dyDescent="0.2">
      <c r="A51" s="58" t="s">
        <v>74</v>
      </c>
      <c r="B51" s="125">
        <f>IFERROR(IRR($B$55:$L$55),"n/a")</f>
        <v>0.25568275705108778</v>
      </c>
      <c r="C51" s="125">
        <f>IFERROR(IRR($B$56:$L$56),"n/a")</f>
        <v>0.21312170765420468</v>
      </c>
      <c r="D51" s="125">
        <f>IFERROR(IRR($B$57:$L$57),"n/a")</f>
        <v>0.19906170767077569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</row>
    <row r="52" spans="1:34" x14ac:dyDescent="0.2">
      <c r="A52" s="57" t="s">
        <v>75</v>
      </c>
      <c r="B52" s="124">
        <f>AVERAGEIFS($C$24:$L$24,$C$4:$L$4,"&lt;="&amp;B$42)</f>
        <v>0.11842102186682779</v>
      </c>
      <c r="C52" s="124">
        <f>AVERAGEIFS($C$24:$L$24,$C$4:$L$4,"&lt;="&amp;C$42)</f>
        <v>0.1295070359251308</v>
      </c>
      <c r="D52" s="124">
        <f>AVERAGEIFS($C$24:$L$24,$C$4:$L$4,"&lt;="&amp;D$42)</f>
        <v>0.13734370326255763</v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</row>
    <row r="53" spans="1:34" x14ac:dyDescent="0.2">
      <c r="A53" s="78" t="s">
        <v>76</v>
      </c>
      <c r="B53" s="127">
        <f>(B44-$B$28)/$B$28</f>
        <v>0.65508116389289217</v>
      </c>
      <c r="C53" s="127">
        <f>(C44-$B$28)/$B$28</f>
        <v>0.83551241249886377</v>
      </c>
      <c r="D53" s="127">
        <f>(D44-$B$28)/$B$28</f>
        <v>0.96659556810817016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</row>
    <row r="54" spans="1:34" x14ac:dyDescent="0.2">
      <c r="A54" s="62" t="s">
        <v>114</v>
      </c>
      <c r="B54" s="42">
        <v>0</v>
      </c>
      <c r="C54" s="42">
        <v>1</v>
      </c>
      <c r="D54" s="42">
        <v>2</v>
      </c>
      <c r="E54" s="42">
        <v>3</v>
      </c>
      <c r="F54" s="42">
        <v>4</v>
      </c>
      <c r="G54" s="42">
        <v>5</v>
      </c>
      <c r="H54" s="42">
        <v>6</v>
      </c>
      <c r="I54" s="42">
        <v>7</v>
      </c>
      <c r="J54" s="42">
        <v>8</v>
      </c>
      <c r="K54" s="42">
        <v>9</v>
      </c>
      <c r="L54" s="42">
        <v>10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</row>
    <row r="55" spans="1:34" x14ac:dyDescent="0.2">
      <c r="A55" s="57" t="str">
        <f>"Hold "&amp;B$42&amp;" years"</f>
        <v>Hold 5 years</v>
      </c>
      <c r="B55" s="15">
        <f>-$B$33</f>
        <v>-140450</v>
      </c>
      <c r="C55" s="15">
        <f>IF(C$54&lt;B$42,C$23,IF(C$54=B$42,C$23+B$47,0))</f>
        <v>14718.420776427534</v>
      </c>
      <c r="D55" s="15">
        <f>IF(D$54&lt;B$42,D$23,IF(D$54=B$42,D$23+B$47,0))</f>
        <v>15642.341480427531</v>
      </c>
      <c r="E55" s="15">
        <f>IF(E$54&lt;B$42,E$23,IF(E$54=B$42,E$23+B$47,0))</f>
        <v>16598.67500906753</v>
      </c>
      <c r="F55" s="15">
        <f>IF(F$54&lt;B$42,F$23,IF(F$54=B$42,F$23+B$47,0))</f>
        <v>17588.558079209924</v>
      </c>
      <c r="G55" s="15">
        <f>IF(G$54&lt;B$42,G$23,IF(G$54=B$42,G$23+B$47,0))</f>
        <v>322632.31842075539</v>
      </c>
      <c r="H55" s="15">
        <f>IF(H$54&lt;B$42,H$23,IF(H$54=B$42,H$23+B$47,0))</f>
        <v>0</v>
      </c>
      <c r="I55" s="15">
        <f>IF(I$54&lt;B$42,I$23,IF(I$54=B$42,I$23+B$47,0))</f>
        <v>0</v>
      </c>
      <c r="J55" s="15">
        <f>IF(J$54&lt;B$42,J$23,IF(J$54=B$42,J$23+B$47,0))</f>
        <v>0</v>
      </c>
      <c r="K55" s="15">
        <f>IF(K$54&lt;B$42,K$23,IF(K$54=B$42,K$23+B$47,0))</f>
        <v>0</v>
      </c>
      <c r="L55" s="15">
        <f>IF(L$54&lt;B$42,L$23,IF(L$54=B$42,L$23+B$47,0))</f>
        <v>0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</row>
    <row r="56" spans="1:34" x14ac:dyDescent="0.2">
      <c r="A56" s="57" t="str">
        <f>"Hold "&amp;C$42&amp;" years"</f>
        <v>Hold 8 years</v>
      </c>
      <c r="B56" s="15">
        <f>-$B$33</f>
        <v>-140450</v>
      </c>
      <c r="C56" s="15">
        <f>IF(C$54&lt;C$42,C$23,IF(C$54=C$42,C$23+C$47,0))</f>
        <v>14718.420776427534</v>
      </c>
      <c r="D56" s="15">
        <f>IF(D$54&lt;C$42,D$23,IF(D$54=C$42,D$23+C$47,0))</f>
        <v>15642.341480427531</v>
      </c>
      <c r="E56" s="15">
        <f>IF(E$54&lt;C$42,E$23,IF(E$54=C$42,E$23+C$47,0))</f>
        <v>16598.67500906753</v>
      </c>
      <c r="F56" s="15">
        <f>IF(F$54&lt;C$42,F$23,IF(F$54=C$42,F$23+C$47,0))</f>
        <v>17588.558079209924</v>
      </c>
      <c r="G56" s="15">
        <f>IF(G$54&lt;C$42,G$23,IF(G$54=C$42,G$23+C$47,0))</f>
        <v>18613.167260847309</v>
      </c>
      <c r="H56" s="15">
        <f>IF(H$54&lt;C$42,H$23,IF(H$54=C$42,H$23+C$47,0))</f>
        <v>19673.720374003198</v>
      </c>
      <c r="I56" s="15">
        <f>IF(I$54&lt;C$42,I$23,IF(I$54=C$42,I$23+C$47,0))</f>
        <v>20771.477934585579</v>
      </c>
      <c r="J56" s="15">
        <f>IF(J$54&lt;C$42,J$23,IF(J$54=C$42,J$23+C$47,0))</f>
        <v>382951.30713282595</v>
      </c>
      <c r="K56" s="15">
        <f>IF(K$54&lt;C$42,K$23,IF(K$54=C$42,K$23+C$47,0))</f>
        <v>0</v>
      </c>
      <c r="L56" s="15">
        <f>IF(L$54&lt;C$42,L$23,IF(L$54=C$42,L$23+C$47,0))</f>
        <v>0</v>
      </c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</row>
    <row r="57" spans="1:34" x14ac:dyDescent="0.2">
      <c r="A57" s="57" t="str">
        <f>"Hold "&amp;D$42&amp;" years"</f>
        <v>Hold 10 years</v>
      </c>
      <c r="B57" s="15">
        <f>-$B$33</f>
        <v>-140450</v>
      </c>
      <c r="C57" s="15">
        <f>IF(C$54&lt;D$42,C$23,IF(C$54=D$42,C$23+D$47,0))</f>
        <v>14718.420776427534</v>
      </c>
      <c r="D57" s="15">
        <f>IF(D$54&lt;D$42,D$23,IF(D$54=D$42,D$23+D$47,0))</f>
        <v>15642.341480427531</v>
      </c>
      <c r="E57" s="15">
        <f>IF(E$54&lt;D$42,E$23,IF(E$54=D$42,E$23+D$47,0))</f>
        <v>16598.67500906753</v>
      </c>
      <c r="F57" s="15">
        <f>IF(F$54&lt;D$42,F$23,IF(F$54=D$42,F$23+D$47,0))</f>
        <v>17588.558079209924</v>
      </c>
      <c r="G57" s="15">
        <f>IF(G$54&lt;D$42,G$23,IF(G$54=D$42,G$23+D$47,0))</f>
        <v>18613.167260847309</v>
      </c>
      <c r="H57" s="15">
        <f>IF(H$54&lt;D$42,H$23,IF(H$54=D$42,H$23+D$47,0))</f>
        <v>19673.720374003198</v>
      </c>
      <c r="I57" s="15">
        <f>IF(I$54&lt;D$42,I$23,IF(I$54=D$42,I$23+D$47,0))</f>
        <v>20771.477934585579</v>
      </c>
      <c r="J57" s="15">
        <f>IF(J$54&lt;D$42,J$23,IF(J$54=D$42,J$23+D$47,0))</f>
        <v>21907.74465090836</v>
      </c>
      <c r="K57" s="15">
        <f>IF(K$54&lt;D$42,K$23,IF(K$54=D$42,K$23+D$47,0))</f>
        <v>23083.870972656063</v>
      </c>
      <c r="L57" s="15">
        <f>IF(L$54&lt;D$42,L$23,IF(L$54=D$42,L$23+D$47,0))</f>
        <v>427389.80903527926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</row>
    <row r="58" spans="1:34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</row>
    <row r="59" spans="1:34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</row>
    <row r="60" spans="1:34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</row>
    <row r="61" spans="1:34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</row>
    <row r="62" spans="1:34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</row>
    <row r="63" spans="1:34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</row>
    <row r="64" spans="1:34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</row>
    <row r="65" spans="1:34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</row>
    <row r="66" spans="1:34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</row>
    <row r="67" spans="1:34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</row>
    <row r="68" spans="1:34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</row>
    <row r="69" spans="1:34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</row>
    <row r="70" spans="1:34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</row>
    <row r="71" spans="1:34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</row>
    <row r="72" spans="1:34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</row>
    <row r="73" spans="1:34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</row>
    <row r="74" spans="1:34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</row>
    <row r="75" spans="1:34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</row>
    <row r="76" spans="1:34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</row>
    <row r="77" spans="1:34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</row>
    <row r="78" spans="1:34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</row>
    <row r="79" spans="1:34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4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30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30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30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30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30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30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30" x14ac:dyDescent="0.2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30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30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30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30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30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30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x14ac:dyDescent="0.2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x14ac:dyDescent="0.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x14ac:dyDescent="0.2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x14ac:dyDescent="0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x14ac:dyDescent="0.2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x14ac:dyDescent="0.2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x14ac:dyDescent="0.2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x14ac:dyDescent="0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x14ac:dyDescent="0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x14ac:dyDescent="0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x14ac:dyDescent="0.2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x14ac:dyDescent="0.2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x14ac:dyDescent="0.2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x14ac:dyDescent="0.2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x14ac:dyDescent="0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x14ac:dyDescent="0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89"/>
  <sheetViews>
    <sheetView zoomScale="50" workbookViewId="0">
      <pane xSplit="1" ySplit="4" topLeftCell="B5" activePane="bottomRight" state="frozen"/>
      <selection pane="topRight"/>
      <selection pane="bottomLeft"/>
      <selection pane="bottomRight" activeCell="C13" sqref="C13"/>
    </sheetView>
  </sheetViews>
  <sheetFormatPr baseColWidth="10" defaultColWidth="8.83203125" defaultRowHeight="15" x14ac:dyDescent="0.2"/>
  <cols>
    <col min="1" max="1" width="42" customWidth="1"/>
    <col min="2" max="2" width="14" customWidth="1"/>
    <col min="3" max="3" width="15" customWidth="1"/>
    <col min="4" max="13" width="14" customWidth="1"/>
  </cols>
  <sheetData>
    <row r="1" spans="1:37" ht="19" x14ac:dyDescent="0.25">
      <c r="A1" s="53" t="s">
        <v>115</v>
      </c>
      <c r="B1" s="75"/>
      <c r="C1" s="7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 spans="1:37" ht="16" x14ac:dyDescent="0.2">
      <c r="A2" s="63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 spans="1:37" ht="16" x14ac:dyDescent="0.2">
      <c r="A3" s="64" t="s">
        <v>80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9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6" x14ac:dyDescent="0.2">
      <c r="A4" s="65" t="s">
        <v>81</v>
      </c>
      <c r="B4" s="50"/>
      <c r="C4" s="50">
        <v>1</v>
      </c>
      <c r="D4" s="50">
        <v>2</v>
      </c>
      <c r="E4" s="50">
        <v>3</v>
      </c>
      <c r="F4" s="50">
        <v>4</v>
      </c>
      <c r="G4" s="50">
        <v>5</v>
      </c>
      <c r="H4" s="50">
        <v>6</v>
      </c>
      <c r="I4" s="50">
        <v>7</v>
      </c>
      <c r="J4" s="50">
        <v>8</v>
      </c>
      <c r="K4" s="50">
        <v>9</v>
      </c>
      <c r="L4" s="50">
        <v>10</v>
      </c>
      <c r="M4" s="51">
        <v>11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</row>
    <row r="5" spans="1:37" ht="16" x14ac:dyDescent="0.2">
      <c r="A5" s="6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1:37" ht="16" x14ac:dyDescent="0.2">
      <c r="A6" s="67" t="s">
        <v>82</v>
      </c>
      <c r="B6" s="3"/>
      <c r="C6" s="15">
        <f>Inputs!$B$5*Inputs!$B$6*(1+Inputs!$B$8)^(C$4-1)</f>
        <v>28224</v>
      </c>
      <c r="D6" s="15">
        <f>Inputs!$B$5*Inputs!$B$6*(1+Inputs!$B$8)^(D$4-1)</f>
        <v>29211.839999999997</v>
      </c>
      <c r="E6" s="15">
        <f>Inputs!$B$5*Inputs!$B$6*(1+Inputs!$B$8)^(E$4-1)</f>
        <v>30234.254399999998</v>
      </c>
      <c r="F6" s="15">
        <f>Inputs!$B$5*Inputs!$B$6*(1+Inputs!$B$8)^(F$4-1)</f>
        <v>31292.453303999991</v>
      </c>
      <c r="G6" s="15">
        <f>Inputs!$B$5*Inputs!$B$6*(1+Inputs!$B$8)^(G$4-1)</f>
        <v>32387.689169639991</v>
      </c>
      <c r="H6" s="15">
        <f>Inputs!$B$5*Inputs!$B$6*(1+Inputs!$B$8)^(H$4-1)</f>
        <v>33521.258290577389</v>
      </c>
      <c r="I6" s="15">
        <f>Inputs!$B$5*Inputs!$B$6*(1+Inputs!$B$8)^(I$4-1)</f>
        <v>34694.502330747593</v>
      </c>
      <c r="J6" s="15">
        <f>Inputs!$B$5*Inputs!$B$6*(1+Inputs!$B$8)^(J$4-1)</f>
        <v>35908.809912323763</v>
      </c>
      <c r="K6" s="15">
        <f>Inputs!$B$5*Inputs!$B$6*(1+Inputs!$B$8)^(K$4-1)</f>
        <v>37165.618259255083</v>
      </c>
      <c r="L6" s="15">
        <f>Inputs!$B$5*Inputs!$B$6*(1+Inputs!$B$8)^(L$4-1)</f>
        <v>38466.414898329007</v>
      </c>
      <c r="M6" s="15">
        <f>Inputs!$B$5*Inputs!$B$6*(1+Inputs!$B$8)^(M$4-1)</f>
        <v>39812.739419770522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</row>
    <row r="7" spans="1:37" ht="16" x14ac:dyDescent="0.2">
      <c r="A7" s="67" t="s">
        <v>83</v>
      </c>
      <c r="B7" s="3"/>
      <c r="C7" s="15">
        <f>-C6*Inputs!$B$10</f>
        <v>-846.71999999999991</v>
      </c>
      <c r="D7" s="15">
        <f>-D6*Inputs!$B$10</f>
        <v>-876.35519999999985</v>
      </c>
      <c r="E7" s="15">
        <f>-E6*Inputs!$B$10</f>
        <v>-907.02763199999993</v>
      </c>
      <c r="F7" s="15">
        <f>-F6*Inputs!$B$10</f>
        <v>-938.77359911999974</v>
      </c>
      <c r="G7" s="15">
        <f>-G6*Inputs!$B$10</f>
        <v>-971.63067508919971</v>
      </c>
      <c r="H7" s="15">
        <f>-H6*Inputs!$B$10</f>
        <v>-1005.6377487173216</v>
      </c>
      <c r="I7" s="15">
        <f>-I6*Inputs!$B$10</f>
        <v>-1040.8350699224277</v>
      </c>
      <c r="J7" s="15">
        <f>-J6*Inputs!$B$10</f>
        <v>-1077.2642973697129</v>
      </c>
      <c r="K7" s="15">
        <f>-K6*Inputs!$B$10</f>
        <v>-1114.9685477776525</v>
      </c>
      <c r="L7" s="15">
        <f>-L6*Inputs!$B$10</f>
        <v>-1153.9924469498701</v>
      </c>
      <c r="M7" s="15">
        <f>-M6*Inputs!$B$10</f>
        <v>-1194.3821825931157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</row>
    <row r="8" spans="1:37" ht="16" x14ac:dyDescent="0.2">
      <c r="A8" s="67" t="s">
        <v>84</v>
      </c>
      <c r="B8" s="3"/>
      <c r="C8" s="15">
        <f>Inputs!$B$5*Inputs!$B$7*(1+Inputs!$B$9)^(C$4-1)*Inputs!$B$11</f>
        <v>9072</v>
      </c>
      <c r="D8" s="15">
        <f>Inputs!$B$5*Inputs!$B$7*(1+Inputs!$B$9)^(D$4-1)*Inputs!$B$11</f>
        <v>9344.16</v>
      </c>
      <c r="E8" s="15">
        <f>Inputs!$B$5*Inputs!$B$7*(1+Inputs!$B$9)^(E$4-1)*Inputs!$B$11</f>
        <v>9624.4848000000002</v>
      </c>
      <c r="F8" s="15">
        <f>Inputs!$B$5*Inputs!$B$7*(1+Inputs!$B$9)^(F$4-1)*Inputs!$B$11</f>
        <v>9913.2193439999992</v>
      </c>
      <c r="G8" s="15">
        <f>Inputs!$B$5*Inputs!$B$7*(1+Inputs!$B$9)^(G$4-1)*Inputs!$B$11</f>
        <v>10210.61592432</v>
      </c>
      <c r="H8" s="15">
        <f>Inputs!$B$5*Inputs!$B$7*(1+Inputs!$B$9)^(H$4-1)*Inputs!$B$11</f>
        <v>10516.934402049599</v>
      </c>
      <c r="I8" s="15">
        <f>Inputs!$B$5*Inputs!$B$7*(1+Inputs!$B$9)^(I$4-1)*Inputs!$B$11</f>
        <v>10832.442434111088</v>
      </c>
      <c r="J8" s="15">
        <f>Inputs!$B$5*Inputs!$B$7*(1+Inputs!$B$9)^(J$4-1)*Inputs!$B$11</f>
        <v>11157.41570713442</v>
      </c>
      <c r="K8" s="15">
        <f>Inputs!$B$5*Inputs!$B$7*(1+Inputs!$B$9)^(K$4-1)*Inputs!$B$11</f>
        <v>11492.138178348452</v>
      </c>
      <c r="L8" s="15">
        <f>Inputs!$B$5*Inputs!$B$7*(1+Inputs!$B$9)^(L$4-1)*Inputs!$B$11</f>
        <v>11836.902323698905</v>
      </c>
      <c r="M8" s="15">
        <f>Inputs!$B$5*Inputs!$B$7*(1+Inputs!$B$9)^(M$4-1)*Inputs!$B$11</f>
        <v>12192.009393409873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</row>
    <row r="9" spans="1:37" ht="16" x14ac:dyDescent="0.2">
      <c r="A9" s="68" t="s">
        <v>85</v>
      </c>
      <c r="B9" s="3"/>
      <c r="C9" s="121">
        <f t="shared" ref="C9:M9" si="0">SUM(C6:C8)</f>
        <v>36449.279999999999</v>
      </c>
      <c r="D9" s="121">
        <f t="shared" si="0"/>
        <v>37679.644799999995</v>
      </c>
      <c r="E9" s="121">
        <f t="shared" si="0"/>
        <v>38951.711567999999</v>
      </c>
      <c r="F9" s="121">
        <f t="shared" si="0"/>
        <v>40266.89904887999</v>
      </c>
      <c r="G9" s="121">
        <f t="shared" si="0"/>
        <v>41626.674418870789</v>
      </c>
      <c r="H9" s="121">
        <f t="shared" si="0"/>
        <v>43032.554943909665</v>
      </c>
      <c r="I9" s="121">
        <f t="shared" si="0"/>
        <v>44486.109694936255</v>
      </c>
      <c r="J9" s="121">
        <f t="shared" si="0"/>
        <v>45988.961322088464</v>
      </c>
      <c r="K9" s="121">
        <f t="shared" si="0"/>
        <v>47542.787889825886</v>
      </c>
      <c r="L9" s="121">
        <f t="shared" si="0"/>
        <v>49149.324775078043</v>
      </c>
      <c r="M9" s="121">
        <f t="shared" si="0"/>
        <v>50810.366630587276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</row>
    <row r="10" spans="1:37" ht="16" x14ac:dyDescent="0.2">
      <c r="A10" s="6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</row>
    <row r="11" spans="1:37" ht="16" x14ac:dyDescent="0.2">
      <c r="A11" s="67" t="s">
        <v>86</v>
      </c>
      <c r="B11" s="3"/>
      <c r="C11" s="15">
        <f>-Inputs!$B$5*Inputs!$B$7*(1+Inputs!$B$9)^(C$4-1)</f>
        <v>-9072</v>
      </c>
      <c r="D11" s="15">
        <f>-Inputs!$B$5*Inputs!$B$7*(1+Inputs!$B$9)^(D$4-1)</f>
        <v>-9344.16</v>
      </c>
      <c r="E11" s="15">
        <f>-Inputs!$B$5*Inputs!$B$7*(1+Inputs!$B$9)^(E$4-1)</f>
        <v>-9624.4848000000002</v>
      </c>
      <c r="F11" s="15">
        <f>-Inputs!$B$5*Inputs!$B$7*(1+Inputs!$B$9)^(F$4-1)</f>
        <v>-9913.2193439999992</v>
      </c>
      <c r="G11" s="15">
        <f>-Inputs!$B$5*Inputs!$B$7*(1+Inputs!$B$9)^(G$4-1)</f>
        <v>-10210.61592432</v>
      </c>
      <c r="H11" s="15">
        <f>-Inputs!$B$5*Inputs!$B$7*(1+Inputs!$B$9)^(H$4-1)</f>
        <v>-10516.934402049599</v>
      </c>
      <c r="I11" s="15">
        <f>-Inputs!$B$5*Inputs!$B$7*(1+Inputs!$B$9)^(I$4-1)</f>
        <v>-10832.442434111088</v>
      </c>
      <c r="J11" s="15">
        <f>-Inputs!$B$5*Inputs!$B$7*(1+Inputs!$B$9)^(J$4-1)</f>
        <v>-11157.41570713442</v>
      </c>
      <c r="K11" s="15">
        <f>-Inputs!$B$5*Inputs!$B$7*(1+Inputs!$B$9)^(K$4-1)</f>
        <v>-11492.138178348452</v>
      </c>
      <c r="L11" s="15">
        <f>-Inputs!$B$5*Inputs!$B$7*(1+Inputs!$B$9)^(L$4-1)</f>
        <v>-11836.902323698905</v>
      </c>
      <c r="M11" s="15">
        <f>-Inputs!$B$5*Inputs!$B$7*(1+Inputs!$B$9)^(M$4-1)</f>
        <v>-12192.009393409873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</row>
    <row r="12" spans="1:37" ht="16" x14ac:dyDescent="0.2">
      <c r="A12" s="67" t="s">
        <v>87</v>
      </c>
      <c r="B12" s="3"/>
      <c r="C12" s="15">
        <f>-(C6+C7)*Inputs!$B$12</f>
        <v>-547.54560000000004</v>
      </c>
      <c r="D12" s="15">
        <f>-(D6+D7)*Inputs!$B$12</f>
        <v>-566.70969600000001</v>
      </c>
      <c r="E12" s="15">
        <f>-(E6+E7)*Inputs!$B$12</f>
        <v>-586.54453535999994</v>
      </c>
      <c r="F12" s="15">
        <f>-(F6+F7)*Inputs!$B$12</f>
        <v>-607.07359409759988</v>
      </c>
      <c r="G12" s="15">
        <f>-(G6+G7)*Inputs!$B$12</f>
        <v>-628.32116989101587</v>
      </c>
      <c r="H12" s="15">
        <f>-(H6+H7)*Inputs!$B$12</f>
        <v>-650.31241083720136</v>
      </c>
      <c r="I12" s="15">
        <f>-(I6+I7)*Inputs!$B$12</f>
        <v>-673.07334521650341</v>
      </c>
      <c r="J12" s="15">
        <f>-(J6+J7)*Inputs!$B$12</f>
        <v>-696.63091229908093</v>
      </c>
      <c r="K12" s="15">
        <f>-(K6+K7)*Inputs!$B$12</f>
        <v>-721.01299422954867</v>
      </c>
      <c r="L12" s="15">
        <f>-(L6+L7)*Inputs!$B$12</f>
        <v>-746.24844902758275</v>
      </c>
      <c r="M12" s="15">
        <f>-(M6+M7)*Inputs!$B$12</f>
        <v>-772.36714474354812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</row>
    <row r="13" spans="1:37" ht="16" x14ac:dyDescent="0.2">
      <c r="A13" s="67" t="s">
        <v>88</v>
      </c>
      <c r="B13" s="3"/>
      <c r="C13" s="15">
        <f>-Inputs!$B$5*Inputs!$B$13*(1+Inputs!$B$9)^(C$4-1)</f>
        <v>-201.60000000000002</v>
      </c>
      <c r="D13" s="15">
        <f>-Inputs!$B$5*Inputs!$B$13*(1+Inputs!$B$9)^(D$4-1)</f>
        <v>-207.64800000000002</v>
      </c>
      <c r="E13" s="15">
        <f>-Inputs!$B$5*Inputs!$B$13*(1+Inputs!$B$9)^(E$4-1)</f>
        <v>-213.87744000000001</v>
      </c>
      <c r="F13" s="15">
        <f>-Inputs!$B$5*Inputs!$B$13*(1+Inputs!$B$9)^(F$4-1)</f>
        <v>-220.29376320000003</v>
      </c>
      <c r="G13" s="15">
        <f>-Inputs!$B$5*Inputs!$B$13*(1+Inputs!$B$9)^(G$4-1)</f>
        <v>-226.90257609600002</v>
      </c>
      <c r="H13" s="15">
        <f>-Inputs!$B$5*Inputs!$B$13*(1+Inputs!$B$9)^(H$4-1)</f>
        <v>-233.70965337888001</v>
      </c>
      <c r="I13" s="15">
        <f>-Inputs!$B$5*Inputs!$B$13*(1+Inputs!$B$9)^(I$4-1)</f>
        <v>-240.72094298024641</v>
      </c>
      <c r="J13" s="15">
        <f>-Inputs!$B$5*Inputs!$B$13*(1+Inputs!$B$9)^(J$4-1)</f>
        <v>-247.94257126965383</v>
      </c>
      <c r="K13" s="15">
        <f>-Inputs!$B$5*Inputs!$B$13*(1+Inputs!$B$9)^(K$4-1)</f>
        <v>-255.3808484077434</v>
      </c>
      <c r="L13" s="15">
        <f>-Inputs!$B$5*Inputs!$B$13*(1+Inputs!$B$9)^(L$4-1)</f>
        <v>-263.04227385997569</v>
      </c>
      <c r="M13" s="15">
        <f>-Inputs!$B$5*Inputs!$B$13*(1+Inputs!$B$9)^(M$4-1)</f>
        <v>-270.93354207577499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</row>
    <row r="14" spans="1:37" ht="16" x14ac:dyDescent="0.2">
      <c r="A14" s="67" t="s">
        <v>89</v>
      </c>
      <c r="B14" s="3"/>
      <c r="C14" s="15">
        <f>-Inputs!$B$5*Inputs!$B$14*(1+Inputs!$B$9)^(C$4-1)</f>
        <v>-302.39999999999998</v>
      </c>
      <c r="D14" s="15">
        <f>-Inputs!$B$5*Inputs!$B$14*(1+Inputs!$B$9)^(D$4-1)</f>
        <v>-311.47199999999998</v>
      </c>
      <c r="E14" s="15">
        <f>-Inputs!$B$5*Inputs!$B$14*(1+Inputs!$B$9)^(E$4-1)</f>
        <v>-320.81615999999997</v>
      </c>
      <c r="F14" s="15">
        <f>-Inputs!$B$5*Inputs!$B$14*(1+Inputs!$B$9)^(F$4-1)</f>
        <v>-330.44064479999997</v>
      </c>
      <c r="G14" s="15">
        <f>-Inputs!$B$5*Inputs!$B$14*(1+Inputs!$B$9)^(G$4-1)</f>
        <v>-340.35386414399994</v>
      </c>
      <c r="H14" s="15">
        <f>-Inputs!$B$5*Inputs!$B$14*(1+Inputs!$B$9)^(H$4-1)</f>
        <v>-350.56448006831994</v>
      </c>
      <c r="I14" s="15">
        <f>-Inputs!$B$5*Inputs!$B$14*(1+Inputs!$B$9)^(I$4-1)</f>
        <v>-361.08141447036957</v>
      </c>
      <c r="J14" s="15">
        <f>-Inputs!$B$5*Inputs!$B$14*(1+Inputs!$B$9)^(J$4-1)</f>
        <v>-371.91385690448067</v>
      </c>
      <c r="K14" s="15">
        <f>-Inputs!$B$5*Inputs!$B$14*(1+Inputs!$B$9)^(K$4-1)</f>
        <v>-383.07127261161503</v>
      </c>
      <c r="L14" s="15">
        <f>-Inputs!$B$5*Inputs!$B$14*(1+Inputs!$B$9)^(L$4-1)</f>
        <v>-394.56341078996348</v>
      </c>
      <c r="M14" s="15">
        <f>-Inputs!$B$5*Inputs!$B$14*(1+Inputs!$B$9)^(M$4-1)</f>
        <v>-406.40031311366238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</row>
    <row r="15" spans="1:37" ht="16" x14ac:dyDescent="0.2">
      <c r="A15" s="68" t="s">
        <v>90</v>
      </c>
      <c r="B15" s="3"/>
      <c r="C15" s="121">
        <f t="shared" ref="C15:M15" si="1">SUM(C11:C14)</f>
        <v>-10123.545599999999</v>
      </c>
      <c r="D15" s="121">
        <f t="shared" si="1"/>
        <v>-10429.989695999999</v>
      </c>
      <c r="E15" s="121">
        <f t="shared" si="1"/>
        <v>-10745.722935360001</v>
      </c>
      <c r="F15" s="121">
        <f t="shared" si="1"/>
        <v>-11071.027346097599</v>
      </c>
      <c r="G15" s="121">
        <f t="shared" si="1"/>
        <v>-11406.193534451015</v>
      </c>
      <c r="H15" s="121">
        <f t="shared" si="1"/>
        <v>-11751.520946334002</v>
      </c>
      <c r="I15" s="121">
        <f t="shared" si="1"/>
        <v>-12107.318136778207</v>
      </c>
      <c r="J15" s="121">
        <f t="shared" si="1"/>
        <v>-12473.903047607635</v>
      </c>
      <c r="K15" s="121">
        <f t="shared" si="1"/>
        <v>-12851.603293597358</v>
      </c>
      <c r="L15" s="121">
        <f t="shared" si="1"/>
        <v>-13240.756457376427</v>
      </c>
      <c r="M15" s="121">
        <f t="shared" si="1"/>
        <v>-13641.710393342859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</row>
    <row r="16" spans="1:37" ht="16" x14ac:dyDescent="0.2">
      <c r="A16" s="70" t="s">
        <v>91</v>
      </c>
      <c r="B16" s="3"/>
      <c r="C16" s="122">
        <f t="shared" ref="C16:M16" si="2">C9+C15</f>
        <v>26325.734400000001</v>
      </c>
      <c r="D16" s="122">
        <f t="shared" si="2"/>
        <v>27249.655103999998</v>
      </c>
      <c r="E16" s="122">
        <f t="shared" si="2"/>
        <v>28205.988632639997</v>
      </c>
      <c r="F16" s="122">
        <f t="shared" si="2"/>
        <v>29195.871702782391</v>
      </c>
      <c r="G16" s="122">
        <f t="shared" si="2"/>
        <v>30220.480884419776</v>
      </c>
      <c r="H16" s="122">
        <f t="shared" si="2"/>
        <v>31281.033997575665</v>
      </c>
      <c r="I16" s="122">
        <f t="shared" si="2"/>
        <v>32378.791558158046</v>
      </c>
      <c r="J16" s="122">
        <f t="shared" si="2"/>
        <v>33515.058274480827</v>
      </c>
      <c r="K16" s="122">
        <f t="shared" si="2"/>
        <v>34691.18459622853</v>
      </c>
      <c r="L16" s="122">
        <f t="shared" si="2"/>
        <v>35908.568317701618</v>
      </c>
      <c r="M16" s="122">
        <f t="shared" si="2"/>
        <v>37168.656237244417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</row>
    <row r="17" spans="1:37" ht="16" x14ac:dyDescent="0.2">
      <c r="A17" s="6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</row>
    <row r="18" spans="1:37" ht="16" x14ac:dyDescent="0.2">
      <c r="A18" s="67" t="s">
        <v>57</v>
      </c>
      <c r="B18" s="3"/>
      <c r="C18" s="15">
        <f t="shared" ref="C18:L18" si="3">-$B$35</f>
        <v>-15669.873391822828</v>
      </c>
      <c r="D18" s="15">
        <f t="shared" si="3"/>
        <v>-15669.873391822828</v>
      </c>
      <c r="E18" s="15">
        <f t="shared" si="3"/>
        <v>-15669.873391822828</v>
      </c>
      <c r="F18" s="15">
        <f t="shared" si="3"/>
        <v>-15669.873391822828</v>
      </c>
      <c r="G18" s="15">
        <f t="shared" si="3"/>
        <v>-15669.873391822828</v>
      </c>
      <c r="H18" s="15">
        <f t="shared" si="3"/>
        <v>-15669.873391822828</v>
      </c>
      <c r="I18" s="15">
        <f t="shared" si="3"/>
        <v>-15669.873391822828</v>
      </c>
      <c r="J18" s="15">
        <f t="shared" si="3"/>
        <v>-15669.873391822828</v>
      </c>
      <c r="K18" s="15">
        <f t="shared" si="3"/>
        <v>-15669.873391822828</v>
      </c>
      <c r="L18" s="15">
        <f t="shared" si="3"/>
        <v>-15669.873391822828</v>
      </c>
      <c r="M18" s="3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</row>
    <row r="19" spans="1:37" ht="16" x14ac:dyDescent="0.2">
      <c r="A19" s="67" t="s">
        <v>92</v>
      </c>
      <c r="B19" s="3"/>
      <c r="C19" s="15">
        <f>FV(Inputs!$C$22/12,12*C$4,$B$34,-$B$32)</f>
        <v>185995.81407704798</v>
      </c>
      <c r="D19" s="15">
        <f>FV(Inputs!$C$22/12,12*D$4,$B$34,-$B$32)</f>
        <v>182782.45288720273</v>
      </c>
      <c r="E19" s="15">
        <f>FV(Inputs!$C$22/12,12*E$4,$B$34,-$B$32)</f>
        <v>179345.35198824859</v>
      </c>
      <c r="F19" s="15">
        <f>FV(Inputs!$C$22/12,12*F$4,$B$34,-$B$32)</f>
        <v>175668.93284591119</v>
      </c>
      <c r="G19" s="15">
        <f>FV(Inputs!$C$22/12,12*G$4,$B$34,-$B$32)</f>
        <v>171736.53222471973</v>
      </c>
      <c r="H19" s="15">
        <f>FV(Inputs!$C$22/12,12*H$4,$B$34,-$B$32)</f>
        <v>167530.32666250109</v>
      </c>
      <c r="I19" s="15">
        <f>FV(Inputs!$C$22/12,12*I$4,$B$34,-$B$32)</f>
        <v>163031.25168618822</v>
      </c>
      <c r="J19" s="15">
        <f>FV(Inputs!$C$22/12,12*J$4,$B$34,-$B$32)</f>
        <v>158218.9154027928</v>
      </c>
      <c r="K19" s="15">
        <f>FV(Inputs!$C$22/12,12*K$4,$B$34,-$B$32)</f>
        <v>153071.506073895</v>
      </c>
      <c r="L19" s="15">
        <f>FV(Inputs!$C$22/12,12*L$4,$B$34,-$B$32)</f>
        <v>147565.69325473547</v>
      </c>
      <c r="M19" s="3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</row>
    <row r="20" spans="1:37" ht="16" x14ac:dyDescent="0.2">
      <c r="A20" s="67" t="s">
        <v>93</v>
      </c>
      <c r="B20" s="3"/>
      <c r="C20" s="15">
        <f>$B$32-C19</f>
        <v>3004.1859229520196</v>
      </c>
      <c r="D20" s="15">
        <f t="shared" ref="D20:L20" si="4">C19-D19</f>
        <v>3213.3611898452509</v>
      </c>
      <c r="E20" s="15">
        <f t="shared" si="4"/>
        <v>3437.1008989541442</v>
      </c>
      <c r="F20" s="15">
        <f t="shared" si="4"/>
        <v>3676.4191423373995</v>
      </c>
      <c r="G20" s="15">
        <f t="shared" si="4"/>
        <v>3932.400621191453</v>
      </c>
      <c r="H20" s="15">
        <f t="shared" si="4"/>
        <v>4206.2055622186454</v>
      </c>
      <c r="I20" s="15">
        <f t="shared" si="4"/>
        <v>4499.0749763128697</v>
      </c>
      <c r="J20" s="15">
        <f t="shared" si="4"/>
        <v>4812.3362833954161</v>
      </c>
      <c r="K20" s="15">
        <f t="shared" si="4"/>
        <v>5147.4093288978038</v>
      </c>
      <c r="L20" s="15">
        <f t="shared" si="4"/>
        <v>5505.8128191595315</v>
      </c>
      <c r="M20" s="3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</row>
    <row r="21" spans="1:37" ht="16" x14ac:dyDescent="0.2">
      <c r="A21" s="67" t="s">
        <v>94</v>
      </c>
      <c r="B21" s="3"/>
      <c r="C21" s="15">
        <f t="shared" ref="C21:L21" si="5">-C18-C20</f>
        <v>12665.687468870809</v>
      </c>
      <c r="D21" s="15">
        <f t="shared" si="5"/>
        <v>12456.512201977577</v>
      </c>
      <c r="E21" s="15">
        <f t="shared" si="5"/>
        <v>12232.772492868684</v>
      </c>
      <c r="F21" s="15">
        <f t="shared" si="5"/>
        <v>11993.454249485429</v>
      </c>
      <c r="G21" s="15">
        <f t="shared" si="5"/>
        <v>11737.472770631375</v>
      </c>
      <c r="H21" s="15">
        <f t="shared" si="5"/>
        <v>11463.667829604183</v>
      </c>
      <c r="I21" s="15">
        <f t="shared" si="5"/>
        <v>11170.798415509958</v>
      </c>
      <c r="J21" s="15">
        <f t="shared" si="5"/>
        <v>10857.537108427412</v>
      </c>
      <c r="K21" s="15">
        <f t="shared" si="5"/>
        <v>10522.464062925024</v>
      </c>
      <c r="L21" s="15">
        <f t="shared" si="5"/>
        <v>10164.060572663297</v>
      </c>
      <c r="M21" s="3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</row>
    <row r="22" spans="1:37" ht="16" x14ac:dyDescent="0.2">
      <c r="A22" s="67" t="s">
        <v>95</v>
      </c>
      <c r="B22" s="3"/>
      <c r="C22" s="15">
        <f t="shared" ref="C22:L22" si="6">IFERROR(C16/-C18,0)</f>
        <v>1.6800221508961157</v>
      </c>
      <c r="D22" s="15">
        <f t="shared" si="6"/>
        <v>1.7389837443243139</v>
      </c>
      <c r="E22" s="15">
        <f t="shared" si="6"/>
        <v>1.8000138180669041</v>
      </c>
      <c r="F22" s="15">
        <f t="shared" si="6"/>
        <v>1.8631849136712217</v>
      </c>
      <c r="G22" s="15">
        <f t="shared" si="6"/>
        <v>1.9285721159808504</v>
      </c>
      <c r="H22" s="15">
        <f t="shared" si="6"/>
        <v>1.9962531422812497</v>
      </c>
      <c r="I22" s="15">
        <f t="shared" si="6"/>
        <v>2.0663084345693949</v>
      </c>
      <c r="J22" s="15">
        <f t="shared" si="6"/>
        <v>2.1388212550568748</v>
      </c>
      <c r="K22" s="15">
        <f t="shared" si="6"/>
        <v>2.2138777850197431</v>
      </c>
      <c r="L22" s="15">
        <f t="shared" si="6"/>
        <v>2.2915672271123873</v>
      </c>
      <c r="M22" s="3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</row>
    <row r="23" spans="1:37" ht="16" x14ac:dyDescent="0.2">
      <c r="A23" s="70" t="s">
        <v>96</v>
      </c>
      <c r="B23" s="3"/>
      <c r="C23" s="122">
        <f t="shared" ref="C23:L23" si="7">C16+C18</f>
        <v>10655.861008177173</v>
      </c>
      <c r="D23" s="122">
        <f t="shared" si="7"/>
        <v>11579.78171217717</v>
      </c>
      <c r="E23" s="122">
        <f t="shared" si="7"/>
        <v>12536.115240817169</v>
      </c>
      <c r="F23" s="122">
        <f t="shared" si="7"/>
        <v>13525.998310959563</v>
      </c>
      <c r="G23" s="122">
        <f t="shared" si="7"/>
        <v>14550.607492596948</v>
      </c>
      <c r="H23" s="122">
        <f t="shared" si="7"/>
        <v>15611.160605752837</v>
      </c>
      <c r="I23" s="122">
        <f t="shared" si="7"/>
        <v>16708.918166335217</v>
      </c>
      <c r="J23" s="122">
        <f t="shared" si="7"/>
        <v>17845.184882657999</v>
      </c>
      <c r="K23" s="122">
        <f t="shared" si="7"/>
        <v>19021.311204405702</v>
      </c>
      <c r="L23" s="122">
        <f t="shared" si="7"/>
        <v>20238.69492587879</v>
      </c>
      <c r="M23" s="3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</row>
    <row r="24" spans="1:37" ht="16" x14ac:dyDescent="0.2">
      <c r="A24" s="67" t="s">
        <v>97</v>
      </c>
      <c r="B24" s="3"/>
      <c r="C24" s="124">
        <f t="shared" ref="C24:L24" si="8">IFERROR(C23/$B$33,0)</f>
        <v>0.11590016323882067</v>
      </c>
      <c r="D24" s="124">
        <f t="shared" si="8"/>
        <v>0.12594933339326919</v>
      </c>
      <c r="E24" s="124">
        <f t="shared" si="8"/>
        <v>0.13635104677852045</v>
      </c>
      <c r="F24" s="124">
        <f t="shared" si="8"/>
        <v>0.14711766707591434</v>
      </c>
      <c r="G24" s="124">
        <f t="shared" si="8"/>
        <v>0.15826199143568576</v>
      </c>
      <c r="H24" s="124">
        <f t="shared" si="8"/>
        <v>0.16979726567057687</v>
      </c>
      <c r="I24" s="124">
        <f t="shared" si="8"/>
        <v>0.18173719998189272</v>
      </c>
      <c r="J24" s="124">
        <f t="shared" si="8"/>
        <v>0.19409598523665433</v>
      </c>
      <c r="K24" s="124">
        <f t="shared" si="8"/>
        <v>0.20688830981515882</v>
      </c>
      <c r="L24" s="124">
        <f t="shared" si="8"/>
        <v>0.22012937704893179</v>
      </c>
      <c r="M24" s="3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</row>
    <row r="25" spans="1:37" ht="16" x14ac:dyDescent="0.2">
      <c r="A25" s="63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</row>
    <row r="26" spans="1:37" ht="16" x14ac:dyDescent="0.2">
      <c r="A26" s="63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</row>
    <row r="27" spans="1:37" ht="16" x14ac:dyDescent="0.2">
      <c r="A27" s="71" t="s">
        <v>98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</row>
    <row r="28" spans="1:37" ht="16" x14ac:dyDescent="0.2">
      <c r="A28" s="67" t="s">
        <v>51</v>
      </c>
      <c r="B28" s="15">
        <f>Inputs!$B$4</f>
        <v>270000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</row>
    <row r="29" spans="1:37" ht="16" x14ac:dyDescent="0.2">
      <c r="A29" s="67" t="s">
        <v>99</v>
      </c>
      <c r="B29" s="15">
        <f>B28*Inputs!$B$15</f>
        <v>4050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</row>
    <row r="30" spans="1:37" ht="16" x14ac:dyDescent="0.2">
      <c r="A30" s="67" t="s">
        <v>100</v>
      </c>
      <c r="B30" s="15">
        <f>B32*Inputs!$C$25+Inputs!$C$26</f>
        <v>6890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</row>
    <row r="31" spans="1:37" ht="16" x14ac:dyDescent="0.2">
      <c r="A31" s="68" t="s">
        <v>101</v>
      </c>
      <c r="B31" s="121">
        <f>SUM(B28:B30)</f>
        <v>280940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</row>
    <row r="32" spans="1:37" ht="16" x14ac:dyDescent="0.2">
      <c r="A32" s="67" t="s">
        <v>54</v>
      </c>
      <c r="B32" s="15">
        <f>Inputs!$C$21</f>
        <v>189000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</row>
    <row r="33" spans="1:37" ht="16" x14ac:dyDescent="0.2">
      <c r="A33" s="68" t="s">
        <v>102</v>
      </c>
      <c r="B33" s="121">
        <f>B31-B32</f>
        <v>91940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</row>
    <row r="34" spans="1:37" ht="16" x14ac:dyDescent="0.2">
      <c r="A34" s="67" t="s">
        <v>103</v>
      </c>
      <c r="B34" s="15">
        <f>PMT(Inputs!$C$22/12,Inputs!$C$23*12,-B32)</f>
        <v>1305.8227826519023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</row>
    <row r="35" spans="1:37" ht="16" x14ac:dyDescent="0.2">
      <c r="A35" s="67" t="s">
        <v>57</v>
      </c>
      <c r="B35" s="15">
        <f>B34*12</f>
        <v>15669.873391822828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</row>
    <row r="36" spans="1:37" ht="16" x14ac:dyDescent="0.2">
      <c r="A36" s="67" t="s">
        <v>104</v>
      </c>
      <c r="B36" s="124">
        <f>C16/B28</f>
        <v>9.7502720000000001E-2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</row>
    <row r="37" spans="1:37" ht="16" x14ac:dyDescent="0.2">
      <c r="A37" s="67" t="s">
        <v>55</v>
      </c>
      <c r="B37" s="124">
        <f>B32/B28</f>
        <v>0.7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</row>
    <row r="38" spans="1:37" ht="16" x14ac:dyDescent="0.2">
      <c r="A38" s="67" t="s">
        <v>105</v>
      </c>
      <c r="B38" s="15">
        <f>PV(Inputs!$C$22/12,Inputs!$C$23*12,-(C16/Inputs!$C$27)/12)</f>
        <v>254019.34921549336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</row>
    <row r="39" spans="1:37" ht="16" x14ac:dyDescent="0.2">
      <c r="A39" s="67" t="s">
        <v>106</v>
      </c>
      <c r="B39" s="124">
        <f>B38/B28</f>
        <v>0.94081240450182724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</row>
    <row r="40" spans="1:37" ht="16" x14ac:dyDescent="0.2">
      <c r="A40" s="63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N40" s="26"/>
      <c r="O40" s="26"/>
      <c r="P40" s="26"/>
      <c r="Q40" s="26"/>
      <c r="R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</row>
    <row r="41" spans="1:37" ht="16" x14ac:dyDescent="0.2">
      <c r="A41" s="71" t="s">
        <v>107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43"/>
      <c r="M41" s="52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</row>
    <row r="42" spans="1:37" ht="16" x14ac:dyDescent="0.2">
      <c r="A42" s="72" t="s">
        <v>108</v>
      </c>
      <c r="B42" s="46">
        <f>Inputs!$B$32</f>
        <v>5</v>
      </c>
      <c r="C42" s="46">
        <f>Inputs!$B$33</f>
        <v>8</v>
      </c>
      <c r="D42" s="46">
        <f>Inputs!$B$34</f>
        <v>10</v>
      </c>
      <c r="E42" s="44"/>
      <c r="F42" s="44"/>
      <c r="G42" s="44"/>
      <c r="H42" s="44"/>
      <c r="I42" s="44"/>
      <c r="J42" s="44"/>
      <c r="K42" s="44"/>
      <c r="L42" s="44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</row>
    <row r="43" spans="1:37" ht="16" x14ac:dyDescent="0.2">
      <c r="A43" s="67" t="s">
        <v>109</v>
      </c>
      <c r="B43" s="15">
        <f>INDEX($C$16:$M$16,B$42+1)</f>
        <v>31281.033997575665</v>
      </c>
      <c r="C43" s="15">
        <f>INDEX($C$16:$M$16,C$42+1)</f>
        <v>34691.18459622853</v>
      </c>
      <c r="D43" s="15">
        <f>INDEX($C$16:$M$16,D$42+1)</f>
        <v>37168.656237244417</v>
      </c>
      <c r="E43" s="3"/>
      <c r="F43" s="3"/>
      <c r="G43" s="3"/>
      <c r="H43" s="3"/>
      <c r="I43" s="3"/>
      <c r="J43" s="3"/>
      <c r="K43" s="3"/>
      <c r="L43" s="3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</row>
    <row r="44" spans="1:37" ht="16" x14ac:dyDescent="0.2">
      <c r="A44" s="67" t="s">
        <v>110</v>
      </c>
      <c r="B44" s="15">
        <f>B43/Inputs!$B$30</f>
        <v>446871.91425108089</v>
      </c>
      <c r="C44" s="15">
        <f>C43/Inputs!$B$30</f>
        <v>495588.35137469321</v>
      </c>
      <c r="D44" s="15">
        <f>D43/Inputs!$B$30</f>
        <v>530980.80338920595</v>
      </c>
      <c r="E44" s="3"/>
      <c r="F44" s="3"/>
      <c r="G44" s="3"/>
      <c r="H44" s="3"/>
      <c r="I44" s="3"/>
      <c r="J44" s="3"/>
      <c r="K44" s="3"/>
      <c r="L44" s="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</row>
    <row r="45" spans="1:37" ht="16" x14ac:dyDescent="0.2">
      <c r="A45" s="67" t="s">
        <v>111</v>
      </c>
      <c r="B45" s="15">
        <f>-B44*Inputs!$B$31</f>
        <v>-15640.516998787833</v>
      </c>
      <c r="C45" s="15">
        <f>-C44*Inputs!$B$31</f>
        <v>-17345.592298114265</v>
      </c>
      <c r="D45" s="15">
        <f>-D44*Inputs!$B$31</f>
        <v>-18584.328118622208</v>
      </c>
      <c r="E45" s="3"/>
      <c r="F45" s="3"/>
      <c r="G45" s="3"/>
      <c r="H45" s="3"/>
      <c r="I45" s="3"/>
      <c r="J45" s="3"/>
      <c r="K45" s="3"/>
      <c r="L45" s="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</row>
    <row r="46" spans="1:37" ht="16" x14ac:dyDescent="0.2">
      <c r="A46" s="67" t="s">
        <v>112</v>
      </c>
      <c r="B46" s="15">
        <f>-INDEX($C$19:$L$19,B$42)</f>
        <v>-171736.53222471973</v>
      </c>
      <c r="C46" s="15">
        <f>-INDEX($C$19:$L$19,C$42)</f>
        <v>-158218.9154027928</v>
      </c>
      <c r="D46" s="15">
        <f>-INDEX($C$19:$L$19,D$42)</f>
        <v>-147565.69325473547</v>
      </c>
      <c r="E46" s="3"/>
      <c r="F46" s="3"/>
      <c r="G46" s="3"/>
      <c r="H46" s="3"/>
      <c r="I46" s="3"/>
      <c r="J46" s="3"/>
      <c r="K46" s="3"/>
      <c r="L46" s="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</row>
    <row r="47" spans="1:37" ht="16" x14ac:dyDescent="0.2">
      <c r="A47" s="68" t="s">
        <v>70</v>
      </c>
      <c r="B47" s="121">
        <f>SUM(B44:B46)</f>
        <v>259494.86502757334</v>
      </c>
      <c r="C47" s="121">
        <f>SUM(C44:C46)</f>
        <v>320023.84367378615</v>
      </c>
      <c r="D47" s="121">
        <f>SUM(D44:D46)</f>
        <v>364830.78201584832</v>
      </c>
      <c r="E47" s="3"/>
      <c r="F47" s="3"/>
      <c r="G47" s="3"/>
      <c r="H47" s="3"/>
      <c r="I47" s="3"/>
      <c r="J47" s="3"/>
      <c r="K47" s="3"/>
      <c r="L47" s="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</row>
    <row r="48" spans="1:37" ht="16" x14ac:dyDescent="0.2">
      <c r="A48" s="67" t="s">
        <v>71</v>
      </c>
      <c r="B48" s="15">
        <f>SUMPRODUCT(($C$4:$L$4&lt;=B$42)*$C$23:$L$23)</f>
        <v>62848.363764728027</v>
      </c>
      <c r="C48" s="15">
        <f>SUMPRODUCT(($C$4:$L$4&lt;=C$42)*$C$23:$L$23)</f>
        <v>113013.62741947408</v>
      </c>
      <c r="D48" s="15">
        <f>SUMPRODUCT(($C$4:$L$4&lt;=D$42)*$C$23:$L$23)</f>
        <v>152273.63354975855</v>
      </c>
      <c r="E48" s="3"/>
      <c r="F48" s="3"/>
      <c r="G48" s="3"/>
      <c r="H48" s="3"/>
      <c r="I48" s="3"/>
      <c r="J48" s="3"/>
      <c r="K48" s="3"/>
      <c r="L48" s="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</row>
    <row r="49" spans="1:37" ht="16" x14ac:dyDescent="0.2">
      <c r="A49" s="68" t="s">
        <v>113</v>
      </c>
      <c r="B49" s="121">
        <f>B47+B48-$B$33</f>
        <v>230403.22879230138</v>
      </c>
      <c r="C49" s="121">
        <f>C47+C48-$B$33</f>
        <v>341097.47109326022</v>
      </c>
      <c r="D49" s="121">
        <f>D47+D48-$B$33</f>
        <v>425164.41556560691</v>
      </c>
      <c r="E49" s="3"/>
      <c r="F49" s="3"/>
      <c r="G49" s="3"/>
      <c r="H49" s="3"/>
      <c r="I49" s="3"/>
      <c r="J49" s="3"/>
      <c r="K49" s="3"/>
      <c r="L49" s="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</row>
    <row r="50" spans="1:37" ht="16" x14ac:dyDescent="0.2">
      <c r="A50" s="68" t="s">
        <v>73</v>
      </c>
      <c r="B50" s="40">
        <f>(B47+B48)/$B$33</f>
        <v>3.5060172807515921</v>
      </c>
      <c r="C50" s="40">
        <f>(C47+C48)/$B$33</f>
        <v>4.7100007732571267</v>
      </c>
      <c r="D50" s="40">
        <f>(D47+D48)/$B$33</f>
        <v>5.624368235431878</v>
      </c>
      <c r="E50" s="3"/>
      <c r="F50" s="3"/>
      <c r="G50" s="3"/>
      <c r="H50" s="3"/>
      <c r="I50" s="3"/>
      <c r="J50" s="3"/>
      <c r="K50" s="3"/>
      <c r="L50" s="3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</row>
    <row r="51" spans="1:37" ht="16" x14ac:dyDescent="0.2">
      <c r="A51" s="68" t="s">
        <v>74</v>
      </c>
      <c r="B51" s="125">
        <f>IFERROR(IRR($B$55:$L$55),"n/a")</f>
        <v>0.32357463112548657</v>
      </c>
      <c r="C51" s="125">
        <f>IFERROR(IRR($B$56:$L$56),"n/a")</f>
        <v>0.26096370021343374</v>
      </c>
      <c r="D51" s="125">
        <f>IFERROR(IRR($B$57:$L$57),"n/a")</f>
        <v>0.24036179414670333</v>
      </c>
      <c r="E51" s="3"/>
      <c r="F51" s="3"/>
      <c r="G51" s="3"/>
      <c r="H51" s="3"/>
      <c r="I51" s="3"/>
      <c r="J51" s="3"/>
      <c r="K51" s="3"/>
      <c r="L51" s="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</row>
    <row r="52" spans="1:37" ht="16" x14ac:dyDescent="0.2">
      <c r="A52" s="67" t="s">
        <v>75</v>
      </c>
      <c r="B52" s="124">
        <f>AVERAGEIFS($C$24:$L$24,$C$4:$L$4,"&lt;="&amp;B$42)</f>
        <v>0.13671604038444207</v>
      </c>
      <c r="C52" s="124">
        <f>AVERAGEIFS($C$24:$L$24,$C$4:$L$4,"&lt;="&amp;C$42)</f>
        <v>0.15365133160141678</v>
      </c>
      <c r="D52" s="124">
        <f>AVERAGEIFS($C$24:$L$24,$C$4:$L$4,"&lt;="&amp;D$42)</f>
        <v>0.16562283396754249</v>
      </c>
      <c r="E52" s="3"/>
      <c r="F52" s="3"/>
      <c r="G52" s="3"/>
      <c r="H52" s="3"/>
      <c r="I52" s="3"/>
      <c r="J52" s="3"/>
      <c r="K52" s="3"/>
      <c r="L52" s="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</row>
    <row r="53" spans="1:37" ht="16" x14ac:dyDescent="0.2">
      <c r="A53" s="67" t="s">
        <v>76</v>
      </c>
      <c r="B53" s="124">
        <f>(B44-$B$28)/$B$28</f>
        <v>0.65508116389289217</v>
      </c>
      <c r="C53" s="124">
        <f>(C44-$B$28)/$B$28</f>
        <v>0.83551241249886377</v>
      </c>
      <c r="D53" s="124">
        <f>(D44-$B$28)/$B$28</f>
        <v>0.96659556810817016</v>
      </c>
      <c r="E53" s="3"/>
      <c r="F53" s="3"/>
      <c r="G53" s="3"/>
      <c r="H53" s="3"/>
      <c r="I53" s="3"/>
      <c r="J53" s="3"/>
      <c r="K53" s="3"/>
      <c r="L53" s="3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</row>
    <row r="54" spans="1:37" ht="16" x14ac:dyDescent="0.2">
      <c r="A54" s="73" t="s">
        <v>114</v>
      </c>
      <c r="B54" s="42">
        <v>0</v>
      </c>
      <c r="C54" s="42">
        <v>1</v>
      </c>
      <c r="D54" s="42">
        <v>2</v>
      </c>
      <c r="E54" s="42">
        <v>3</v>
      </c>
      <c r="F54" s="42">
        <v>4</v>
      </c>
      <c r="G54" s="42">
        <v>5</v>
      </c>
      <c r="H54" s="42">
        <v>6</v>
      </c>
      <c r="I54" s="42">
        <v>7</v>
      </c>
      <c r="J54" s="42">
        <v>8</v>
      </c>
      <c r="K54" s="42">
        <v>9</v>
      </c>
      <c r="L54" s="42">
        <v>10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</row>
    <row r="55" spans="1:37" ht="16" x14ac:dyDescent="0.2">
      <c r="A55" s="67" t="str">
        <f>"Hold "&amp;B$42&amp;" years"</f>
        <v>Hold 5 years</v>
      </c>
      <c r="B55" s="15">
        <f>-$B$33</f>
        <v>-91940</v>
      </c>
      <c r="C55" s="15">
        <f>IF(C$54&lt;B$42,C$23,IF(C$54=B$42,C$23+B$47,0))</f>
        <v>10655.861008177173</v>
      </c>
      <c r="D55" s="15">
        <f>IF(D$54&lt;B$42,D$23,IF(D$54=B$42,D$23+B$47,0))</f>
        <v>11579.78171217717</v>
      </c>
      <c r="E55" s="15">
        <f>IF(E$54&lt;B$42,E$23,IF(E$54=B$42,E$23+B$47,0))</f>
        <v>12536.115240817169</v>
      </c>
      <c r="F55" s="15">
        <f>IF(F$54&lt;B$42,F$23,IF(F$54=B$42,F$23+B$47,0))</f>
        <v>13525.998310959563</v>
      </c>
      <c r="G55" s="15">
        <f>IF(G$54&lt;B$42,G$23,IF(G$54=B$42,G$23+B$47,0))</f>
        <v>274045.47252017027</v>
      </c>
      <c r="H55" s="15">
        <f>IF(H$54&lt;B$42,H$23,IF(H$54=B$42,H$23+B$47,0))</f>
        <v>0</v>
      </c>
      <c r="I55" s="15">
        <f>IF(I$54&lt;B$42,I$23,IF(I$54=B$42,I$23+B$47,0))</f>
        <v>0</v>
      </c>
      <c r="J55" s="15">
        <f>IF(J$54&lt;B$42,J$23,IF(J$54=B$42,J$23+B$47,0))</f>
        <v>0</v>
      </c>
      <c r="K55" s="15">
        <f>IF(K$54&lt;B$42,K$23,IF(K$54=B$42,K$23+B$47,0))</f>
        <v>0</v>
      </c>
      <c r="L55" s="15">
        <f>IF(L$54&lt;B$42,L$23,IF(L$54=B$42,L$23+B$47,0))</f>
        <v>0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</row>
    <row r="56" spans="1:37" ht="16" x14ac:dyDescent="0.2">
      <c r="A56" s="67" t="str">
        <f>"Hold "&amp;C$42&amp;" years"</f>
        <v>Hold 8 years</v>
      </c>
      <c r="B56" s="15">
        <f>-$B$33</f>
        <v>-91940</v>
      </c>
      <c r="C56" s="15">
        <f>IF(C$54&lt;C$42,C$23,IF(C$54=C$42,C$23+C$47,0))</f>
        <v>10655.861008177173</v>
      </c>
      <c r="D56" s="15">
        <f>IF(D$54&lt;C$42,D$23,IF(D$54=C$42,D$23+C$47,0))</f>
        <v>11579.78171217717</v>
      </c>
      <c r="E56" s="15">
        <f>IF(E$54&lt;C$42,E$23,IF(E$54=C$42,E$23+C$47,0))</f>
        <v>12536.115240817169</v>
      </c>
      <c r="F56" s="15">
        <f>IF(F$54&lt;C$42,F$23,IF(F$54=C$42,F$23+C$47,0))</f>
        <v>13525.998310959563</v>
      </c>
      <c r="G56" s="15">
        <f>IF(G$54&lt;C$42,G$23,IF(G$54=C$42,G$23+C$47,0))</f>
        <v>14550.607492596948</v>
      </c>
      <c r="H56" s="15">
        <f>IF(H$54&lt;C$42,H$23,IF(H$54=C$42,H$23+C$47,0))</f>
        <v>15611.160605752837</v>
      </c>
      <c r="I56" s="15">
        <f>IF(I$54&lt;C$42,I$23,IF(I$54=C$42,I$23+C$47,0))</f>
        <v>16708.918166335217</v>
      </c>
      <c r="J56" s="15">
        <f>IF(J$54&lt;C$42,J$23,IF(J$54=C$42,J$23+C$47,0))</f>
        <v>337869.02855644416</v>
      </c>
      <c r="K56" s="15">
        <f>IF(K$54&lt;C$42,K$23,IF(K$54=C$42,K$23+C$47,0))</f>
        <v>0</v>
      </c>
      <c r="L56" s="15">
        <f>IF(L$54&lt;C$42,L$23,IF(L$54=C$42,L$23+C$47,0))</f>
        <v>0</v>
      </c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</row>
    <row r="57" spans="1:37" ht="16" x14ac:dyDescent="0.2">
      <c r="A57" s="67" t="str">
        <f>"Hold "&amp;D$42&amp;" years"</f>
        <v>Hold 10 years</v>
      </c>
      <c r="B57" s="15">
        <f>-$B$33</f>
        <v>-91940</v>
      </c>
      <c r="C57" s="15">
        <f>IF(C$54&lt;D$42,C$23,IF(C$54=D$42,C$23+D$47,0))</f>
        <v>10655.861008177173</v>
      </c>
      <c r="D57" s="15">
        <f>IF(D$54&lt;D$42,D$23,IF(D$54=D$42,D$23+D$47,0))</f>
        <v>11579.78171217717</v>
      </c>
      <c r="E57" s="15">
        <f>IF(E$54&lt;D$42,E$23,IF(E$54=D$42,E$23+D$47,0))</f>
        <v>12536.115240817169</v>
      </c>
      <c r="F57" s="15">
        <f>IF(F$54&lt;D$42,F$23,IF(F$54=D$42,F$23+D$47,0))</f>
        <v>13525.998310959563</v>
      </c>
      <c r="G57" s="15">
        <f>IF(G$54&lt;D$42,G$23,IF(G$54=D$42,G$23+D$47,0))</f>
        <v>14550.607492596948</v>
      </c>
      <c r="H57" s="15">
        <f>IF(H$54&lt;D$42,H$23,IF(H$54=D$42,H$23+D$47,0))</f>
        <v>15611.160605752837</v>
      </c>
      <c r="I57" s="15">
        <f>IF(I$54&lt;D$42,I$23,IF(I$54=D$42,I$23+D$47,0))</f>
        <v>16708.918166335217</v>
      </c>
      <c r="J57" s="15">
        <f>IF(J$54&lt;D$42,J$23,IF(J$54=D$42,J$23+D$47,0))</f>
        <v>17845.184882657999</v>
      </c>
      <c r="K57" s="15">
        <f>IF(K$54&lt;D$42,K$23,IF(K$54=D$42,K$23+D$47,0))</f>
        <v>19021.311204405702</v>
      </c>
      <c r="L57" s="15">
        <f>IF(L$54&lt;D$42,L$23,IF(L$54=D$42,L$23+D$47,0))</f>
        <v>385069.4769417271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</row>
    <row r="58" spans="1:37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</row>
    <row r="59" spans="1:37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</row>
    <row r="60" spans="1:37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</row>
    <row r="61" spans="1:37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</row>
    <row r="62" spans="1:37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</row>
    <row r="63" spans="1:37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</row>
    <row r="64" spans="1:37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</row>
    <row r="65" spans="1:37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</row>
    <row r="66" spans="1:37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</row>
    <row r="67" spans="1:37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</row>
    <row r="68" spans="1:37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</row>
    <row r="69" spans="1:37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</row>
    <row r="70" spans="1:37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</row>
    <row r="71" spans="1:37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</row>
    <row r="72" spans="1:37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</row>
    <row r="73" spans="1:37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</row>
    <row r="74" spans="1:37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</row>
    <row r="75" spans="1:37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</row>
    <row r="76" spans="1:37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</row>
    <row r="77" spans="1:37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</row>
    <row r="78" spans="1:37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</row>
    <row r="79" spans="1:37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</row>
    <row r="80" spans="1:37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</row>
    <row r="81" spans="1:37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</row>
    <row r="82" spans="1:37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</row>
    <row r="83" spans="1:37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</row>
    <row r="84" spans="1:37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</row>
    <row r="85" spans="1:37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</row>
    <row r="86" spans="1:37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</row>
    <row r="87" spans="1:37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</row>
    <row r="88" spans="1:37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 spans="1:37" x14ac:dyDescent="0.2">
      <c r="M89" s="26"/>
      <c r="N89" s="26"/>
      <c r="O89" s="26"/>
      <c r="P89" s="26"/>
      <c r="Q89" s="26"/>
      <c r="R89" s="26"/>
      <c r="S89" s="26"/>
      <c r="T89" s="2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7D09-7612-444D-AC85-D70C7D0B80EA}">
  <dimension ref="A1:AP178"/>
  <sheetViews>
    <sheetView zoomScale="75" zoomScaleNormal="60" workbookViewId="0">
      <pane ySplit="17" topLeftCell="A18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26.1640625" customWidth="1"/>
    <col min="2" max="2" width="16" customWidth="1"/>
    <col min="3" max="3" width="21.6640625" customWidth="1"/>
    <col min="4" max="13" width="15" customWidth="1"/>
  </cols>
  <sheetData>
    <row r="1" spans="1:42" ht="18" x14ac:dyDescent="0.2">
      <c r="A1" s="90" t="s">
        <v>179</v>
      </c>
      <c r="B1" s="91"/>
      <c r="C1" s="91"/>
      <c r="D1" s="91"/>
      <c r="E1" s="91"/>
      <c r="F1" s="91"/>
      <c r="G1" s="92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</row>
    <row r="2" spans="1:42" x14ac:dyDescent="0.2">
      <c r="A2" s="93" t="s">
        <v>178</v>
      </c>
      <c r="B2" s="94"/>
      <c r="C2" s="94"/>
      <c r="D2" s="94"/>
      <c r="E2" s="94"/>
      <c r="F2" s="94"/>
      <c r="G2" s="9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42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</row>
    <row r="4" spans="1:42" ht="16" x14ac:dyDescent="0.2">
      <c r="A4" s="71" t="s">
        <v>176</v>
      </c>
      <c r="B4" s="96"/>
      <c r="C4" s="97"/>
      <c r="D4" s="89"/>
      <c r="E4" s="89"/>
      <c r="F4" s="89"/>
      <c r="G4" s="89"/>
      <c r="H4" s="89"/>
      <c r="I4" s="89"/>
      <c r="J4" s="89"/>
      <c r="K4" s="89"/>
      <c r="L4" s="89"/>
      <c r="M4" s="8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</row>
    <row r="5" spans="1:42" ht="16" x14ac:dyDescent="0.2">
      <c r="A5" s="67" t="s">
        <v>4</v>
      </c>
      <c r="B5" s="83">
        <f>Inputs!B5</f>
        <v>2016</v>
      </c>
      <c r="C5" s="101" t="s">
        <v>173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</row>
    <row r="6" spans="1:42" ht="16" x14ac:dyDescent="0.2">
      <c r="A6" s="67" t="s">
        <v>175</v>
      </c>
      <c r="B6" s="134">
        <f>Inputs!B6</f>
        <v>14</v>
      </c>
      <c r="C6" s="101" t="s">
        <v>173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</row>
    <row r="7" spans="1:42" ht="16" x14ac:dyDescent="0.2">
      <c r="A7" s="67" t="s">
        <v>174</v>
      </c>
      <c r="B7" s="134">
        <f>Inputs!B7</f>
        <v>4.5</v>
      </c>
      <c r="C7" s="101" t="s">
        <v>173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</row>
    <row r="8" spans="1:42" ht="31" x14ac:dyDescent="0.2">
      <c r="A8" s="67" t="s">
        <v>172</v>
      </c>
      <c r="B8" s="135">
        <f>Inputs!B8</f>
        <v>3.5000000000000003E-2</v>
      </c>
      <c r="C8" s="101" t="s">
        <v>170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</row>
    <row r="9" spans="1:42" ht="31" x14ac:dyDescent="0.2">
      <c r="A9" s="67" t="s">
        <v>171</v>
      </c>
      <c r="B9" s="135">
        <f>Inputs!B9</f>
        <v>0.03</v>
      </c>
      <c r="C9" s="101" t="s">
        <v>170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</row>
    <row r="10" spans="1:42" ht="16" x14ac:dyDescent="0.2">
      <c r="A10" s="67" t="s">
        <v>169</v>
      </c>
      <c r="B10" s="85">
        <v>46388</v>
      </c>
      <c r="C10" s="101" t="s">
        <v>177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</row>
    <row r="11" spans="1:42" ht="29" customHeight="1" x14ac:dyDescent="0.2">
      <c r="A11" s="84" t="s">
        <v>168</v>
      </c>
      <c r="B11" s="102">
        <v>36</v>
      </c>
      <c r="C11" s="101" t="s">
        <v>167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</row>
    <row r="12" spans="1:42" ht="46" x14ac:dyDescent="0.2">
      <c r="A12" s="67" t="s">
        <v>166</v>
      </c>
      <c r="B12" s="86">
        <v>1</v>
      </c>
      <c r="C12" s="101" t="s">
        <v>165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</row>
    <row r="13" spans="1:42" ht="46" x14ac:dyDescent="0.2">
      <c r="A13" s="84" t="s">
        <v>164</v>
      </c>
      <c r="B13" s="87">
        <v>0</v>
      </c>
      <c r="C13" s="101" t="s">
        <v>163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</row>
    <row r="14" spans="1:42" ht="16" x14ac:dyDescent="0.2">
      <c r="A14" s="67" t="s">
        <v>135</v>
      </c>
      <c r="B14" s="88">
        <v>0</v>
      </c>
      <c r="C14" s="101" t="s">
        <v>162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</row>
    <row r="15" spans="1:42" x14ac:dyDescent="0.2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</row>
    <row r="16" spans="1:42" x14ac:dyDescent="0.2">
      <c r="A16" s="55" t="s">
        <v>161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4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</row>
    <row r="17" spans="1:42" ht="42" customHeight="1" x14ac:dyDescent="0.2">
      <c r="A17" s="105" t="s">
        <v>160</v>
      </c>
      <c r="B17" s="106" t="s">
        <v>159</v>
      </c>
      <c r="C17" s="107" t="s">
        <v>150</v>
      </c>
      <c r="D17" s="107" t="s">
        <v>158</v>
      </c>
      <c r="E17" s="107" t="s">
        <v>148</v>
      </c>
      <c r="F17" s="107" t="s">
        <v>147</v>
      </c>
      <c r="G17" s="107" t="s">
        <v>146</v>
      </c>
      <c r="H17" s="107" t="s">
        <v>157</v>
      </c>
      <c r="I17" s="107" t="s">
        <v>156</v>
      </c>
      <c r="J17" s="107" t="s">
        <v>155</v>
      </c>
      <c r="K17" s="107" t="s">
        <v>154</v>
      </c>
      <c r="L17" s="107" t="s">
        <v>144</v>
      </c>
      <c r="M17" s="108" t="s">
        <v>153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</row>
    <row r="18" spans="1:42" x14ac:dyDescent="0.2">
      <c r="A18" s="98">
        <v>1</v>
      </c>
      <c r="B18" s="99">
        <f>EDATE($B$10,A18-1)</f>
        <v>46388</v>
      </c>
      <c r="C18" s="98">
        <f>ROUNDUP(A18/12,0)</f>
        <v>1</v>
      </c>
      <c r="D18" s="121">
        <f>$B$6*(1+$B$8)^(C18-1)</f>
        <v>14</v>
      </c>
      <c r="E18" s="121">
        <f>IF(A18&gt;$B$11,0,D18*$B$5/12)</f>
        <v>2352</v>
      </c>
      <c r="F18" s="121">
        <f>-IF(A18&lt;=$B$12,E18,0)</f>
        <v>-2352</v>
      </c>
      <c r="G18" s="121">
        <f>E18+F18</f>
        <v>0</v>
      </c>
      <c r="H18" s="121">
        <f>$B$7*(1+$B$9)^(C18-1)</f>
        <v>4.5</v>
      </c>
      <c r="I18" s="121">
        <f>IF(A18&gt;$B$11,0,H18*$B$5/12)</f>
        <v>756</v>
      </c>
      <c r="J18" s="121">
        <f>-IF(AND($B$13=1,A18&lt;=$B$12),I18,0)</f>
        <v>0</v>
      </c>
      <c r="K18" s="121">
        <f>I18+J18</f>
        <v>756</v>
      </c>
      <c r="L18" s="121">
        <f>G18+K18</f>
        <v>756</v>
      </c>
      <c r="M18" s="121">
        <f>SUM($L$18:L18)</f>
        <v>756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</row>
    <row r="19" spans="1:42" x14ac:dyDescent="0.2">
      <c r="A19" s="98">
        <v>2</v>
      </c>
      <c r="B19" s="99">
        <f>EDATE($B$10,A19-1)</f>
        <v>46419</v>
      </c>
      <c r="C19" s="98">
        <f>ROUNDUP(A19/12,0)</f>
        <v>1</v>
      </c>
      <c r="D19" s="121">
        <f>$B$6*(1+$B$8)^(C19-1)</f>
        <v>14</v>
      </c>
      <c r="E19" s="121">
        <f>IF(A19&gt;$B$11,0,D19*$B$5/12)</f>
        <v>2352</v>
      </c>
      <c r="F19" s="121">
        <f>-IF(A19&lt;=$B$12,E19,0)</f>
        <v>0</v>
      </c>
      <c r="G19" s="121">
        <f>E19+F19</f>
        <v>2352</v>
      </c>
      <c r="H19" s="121">
        <f>$B$7*(1+$B$9)^(C19-1)</f>
        <v>4.5</v>
      </c>
      <c r="I19" s="121">
        <f>IF(A19&gt;$B$11,0,H19*$B$5/12)</f>
        <v>756</v>
      </c>
      <c r="J19" s="121">
        <f>-IF(AND($B$13=1,A19&lt;=$B$12),I19,0)</f>
        <v>0</v>
      </c>
      <c r="K19" s="121">
        <f>I19+J19</f>
        <v>756</v>
      </c>
      <c r="L19" s="121">
        <f>G19+K19</f>
        <v>3108</v>
      </c>
      <c r="M19" s="121">
        <f>SUM($L$18:L19)</f>
        <v>3864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</row>
    <row r="20" spans="1:42" x14ac:dyDescent="0.2">
      <c r="A20" s="98">
        <v>3</v>
      </c>
      <c r="B20" s="99">
        <f>EDATE($B$10,A20-1)</f>
        <v>46447</v>
      </c>
      <c r="C20" s="98">
        <f>ROUNDUP(A20/12,0)</f>
        <v>1</v>
      </c>
      <c r="D20" s="121">
        <f>$B$6*(1+$B$8)^(C20-1)</f>
        <v>14</v>
      </c>
      <c r="E20" s="121">
        <f>IF(A20&gt;$B$11,0,D20*$B$5/12)</f>
        <v>2352</v>
      </c>
      <c r="F20" s="121">
        <f>-IF(A20&lt;=$B$12,E20,0)</f>
        <v>0</v>
      </c>
      <c r="G20" s="121">
        <f>E20+F20</f>
        <v>2352</v>
      </c>
      <c r="H20" s="121">
        <f>$B$7*(1+$B$9)^(C20-1)</f>
        <v>4.5</v>
      </c>
      <c r="I20" s="121">
        <f>IF(A20&gt;$B$11,0,H20*$B$5/12)</f>
        <v>756</v>
      </c>
      <c r="J20" s="121">
        <f>-IF(AND($B$13=1,A20&lt;=$B$12),I20,0)</f>
        <v>0</v>
      </c>
      <c r="K20" s="121">
        <f>I20+J20</f>
        <v>756</v>
      </c>
      <c r="L20" s="121">
        <f>G20+K20</f>
        <v>3108</v>
      </c>
      <c r="M20" s="121">
        <f>SUM($L$18:L20)</f>
        <v>6972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</row>
    <row r="21" spans="1:42" x14ac:dyDescent="0.2">
      <c r="A21" s="98">
        <v>4</v>
      </c>
      <c r="B21" s="99">
        <f>EDATE($B$10,A21-1)</f>
        <v>46478</v>
      </c>
      <c r="C21" s="98">
        <f>ROUNDUP(A21/12,0)</f>
        <v>1</v>
      </c>
      <c r="D21" s="121">
        <f>$B$6*(1+$B$8)^(C21-1)</f>
        <v>14</v>
      </c>
      <c r="E21" s="121">
        <f>IF(A21&gt;$B$11,0,D21*$B$5/12)</f>
        <v>2352</v>
      </c>
      <c r="F21" s="121">
        <f>-IF(A21&lt;=$B$12,E21,0)</f>
        <v>0</v>
      </c>
      <c r="G21" s="121">
        <f>E21+F21</f>
        <v>2352</v>
      </c>
      <c r="H21" s="121">
        <f>$B$7*(1+$B$9)^(C21-1)</f>
        <v>4.5</v>
      </c>
      <c r="I21" s="121">
        <f>IF(A21&gt;$B$11,0,H21*$B$5/12)</f>
        <v>756</v>
      </c>
      <c r="J21" s="121">
        <f>-IF(AND($B$13=1,A21&lt;=$B$12),I21,0)</f>
        <v>0</v>
      </c>
      <c r="K21" s="121">
        <f>I21+J21</f>
        <v>756</v>
      </c>
      <c r="L21" s="121">
        <f>G21+K21</f>
        <v>3108</v>
      </c>
      <c r="M21" s="121">
        <f>SUM($L$18:L21)</f>
        <v>10080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</row>
    <row r="22" spans="1:42" x14ac:dyDescent="0.2">
      <c r="A22" s="98">
        <v>5</v>
      </c>
      <c r="B22" s="99">
        <f>EDATE($B$10,A22-1)</f>
        <v>46508</v>
      </c>
      <c r="C22" s="98">
        <f>ROUNDUP(A22/12,0)</f>
        <v>1</v>
      </c>
      <c r="D22" s="121">
        <f>$B$6*(1+$B$8)^(C22-1)</f>
        <v>14</v>
      </c>
      <c r="E22" s="121">
        <f>IF(A22&gt;$B$11,0,D22*$B$5/12)</f>
        <v>2352</v>
      </c>
      <c r="F22" s="121">
        <f>-IF(A22&lt;=$B$12,E22,0)</f>
        <v>0</v>
      </c>
      <c r="G22" s="121">
        <f>E22+F22</f>
        <v>2352</v>
      </c>
      <c r="H22" s="121">
        <f>$B$7*(1+$B$9)^(C22-1)</f>
        <v>4.5</v>
      </c>
      <c r="I22" s="121">
        <f>IF(A22&gt;$B$11,0,H22*$B$5/12)</f>
        <v>756</v>
      </c>
      <c r="J22" s="121">
        <f>-IF(AND($B$13=1,A22&lt;=$B$12),I22,0)</f>
        <v>0</v>
      </c>
      <c r="K22" s="121">
        <f>I22+J22</f>
        <v>756</v>
      </c>
      <c r="L22" s="121">
        <f>G22+K22</f>
        <v>3108</v>
      </c>
      <c r="M22" s="121">
        <f>SUM($L$18:L22)</f>
        <v>13188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</row>
    <row r="23" spans="1:42" x14ac:dyDescent="0.2">
      <c r="A23" s="98">
        <v>6</v>
      </c>
      <c r="B23" s="99">
        <f>EDATE($B$10,A23-1)</f>
        <v>46539</v>
      </c>
      <c r="C23" s="98">
        <f>ROUNDUP(A23/12,0)</f>
        <v>1</v>
      </c>
      <c r="D23" s="121">
        <f>$B$6*(1+$B$8)^(C23-1)</f>
        <v>14</v>
      </c>
      <c r="E23" s="121">
        <f>IF(A23&gt;$B$11,0,D23*$B$5/12)</f>
        <v>2352</v>
      </c>
      <c r="F23" s="121">
        <f>-IF(A23&lt;=$B$12,E23,0)</f>
        <v>0</v>
      </c>
      <c r="G23" s="121">
        <f>E23+F23</f>
        <v>2352</v>
      </c>
      <c r="H23" s="121">
        <f>$B$7*(1+$B$9)^(C23-1)</f>
        <v>4.5</v>
      </c>
      <c r="I23" s="121">
        <f>IF(A23&gt;$B$11,0,H23*$B$5/12)</f>
        <v>756</v>
      </c>
      <c r="J23" s="121">
        <f>-IF(AND($B$13=1,A23&lt;=$B$12),I23,0)</f>
        <v>0</v>
      </c>
      <c r="K23" s="121">
        <f>I23+J23</f>
        <v>756</v>
      </c>
      <c r="L23" s="121">
        <f>G23+K23</f>
        <v>3108</v>
      </c>
      <c r="M23" s="121">
        <f>SUM($L$18:L23)</f>
        <v>16296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</row>
    <row r="24" spans="1:42" x14ac:dyDescent="0.2">
      <c r="A24" s="98">
        <v>7</v>
      </c>
      <c r="B24" s="99">
        <f>EDATE($B$10,A24-1)</f>
        <v>46569</v>
      </c>
      <c r="C24" s="98">
        <f>ROUNDUP(A24/12,0)</f>
        <v>1</v>
      </c>
      <c r="D24" s="121">
        <f>$B$6*(1+$B$8)^(C24-1)</f>
        <v>14</v>
      </c>
      <c r="E24" s="121">
        <f>IF(A24&gt;$B$11,0,D24*$B$5/12)</f>
        <v>2352</v>
      </c>
      <c r="F24" s="121">
        <f>-IF(A24&lt;=$B$12,E24,0)</f>
        <v>0</v>
      </c>
      <c r="G24" s="121">
        <f>E24+F24</f>
        <v>2352</v>
      </c>
      <c r="H24" s="121">
        <f>$B$7*(1+$B$9)^(C24-1)</f>
        <v>4.5</v>
      </c>
      <c r="I24" s="121">
        <f>IF(A24&gt;$B$11,0,H24*$B$5/12)</f>
        <v>756</v>
      </c>
      <c r="J24" s="121">
        <f>-IF(AND($B$13=1,A24&lt;=$B$12),I24,0)</f>
        <v>0</v>
      </c>
      <c r="K24" s="121">
        <f>I24+J24</f>
        <v>756</v>
      </c>
      <c r="L24" s="121">
        <f>G24+K24</f>
        <v>3108</v>
      </c>
      <c r="M24" s="121">
        <f>SUM($L$18:L24)</f>
        <v>19404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</row>
    <row r="25" spans="1:42" x14ac:dyDescent="0.2">
      <c r="A25" s="98">
        <v>8</v>
      </c>
      <c r="B25" s="99">
        <f>EDATE($B$10,A25-1)</f>
        <v>46600</v>
      </c>
      <c r="C25" s="98">
        <f>ROUNDUP(A25/12,0)</f>
        <v>1</v>
      </c>
      <c r="D25" s="121">
        <f>$B$6*(1+$B$8)^(C25-1)</f>
        <v>14</v>
      </c>
      <c r="E25" s="121">
        <f>IF(A25&gt;$B$11,0,D25*$B$5/12)</f>
        <v>2352</v>
      </c>
      <c r="F25" s="121">
        <f>-IF(A25&lt;=$B$12,E25,0)</f>
        <v>0</v>
      </c>
      <c r="G25" s="121">
        <f>E25+F25</f>
        <v>2352</v>
      </c>
      <c r="H25" s="121">
        <f>$B$7*(1+$B$9)^(C25-1)</f>
        <v>4.5</v>
      </c>
      <c r="I25" s="121">
        <f>IF(A25&gt;$B$11,0,H25*$B$5/12)</f>
        <v>756</v>
      </c>
      <c r="J25" s="121">
        <f>-IF(AND($B$13=1,A25&lt;=$B$12),I25,0)</f>
        <v>0</v>
      </c>
      <c r="K25" s="121">
        <f>I25+J25</f>
        <v>756</v>
      </c>
      <c r="L25" s="121">
        <f>G25+K25</f>
        <v>3108</v>
      </c>
      <c r="M25" s="121">
        <f>SUM($L$18:L25)</f>
        <v>22512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</row>
    <row r="26" spans="1:42" x14ac:dyDescent="0.2">
      <c r="A26" s="98">
        <v>9</v>
      </c>
      <c r="B26" s="99">
        <f>EDATE($B$10,A26-1)</f>
        <v>46631</v>
      </c>
      <c r="C26" s="98">
        <f>ROUNDUP(A26/12,0)</f>
        <v>1</v>
      </c>
      <c r="D26" s="121">
        <f>$B$6*(1+$B$8)^(C26-1)</f>
        <v>14</v>
      </c>
      <c r="E26" s="121">
        <f>IF(A26&gt;$B$11,0,D26*$B$5/12)</f>
        <v>2352</v>
      </c>
      <c r="F26" s="121">
        <f>-IF(A26&lt;=$B$12,E26,0)</f>
        <v>0</v>
      </c>
      <c r="G26" s="121">
        <f>E26+F26</f>
        <v>2352</v>
      </c>
      <c r="H26" s="121">
        <f>$B$7*(1+$B$9)^(C26-1)</f>
        <v>4.5</v>
      </c>
      <c r="I26" s="121">
        <f>IF(A26&gt;$B$11,0,H26*$B$5/12)</f>
        <v>756</v>
      </c>
      <c r="J26" s="121">
        <f>-IF(AND($B$13=1,A26&lt;=$B$12),I26,0)</f>
        <v>0</v>
      </c>
      <c r="K26" s="121">
        <f>I26+J26</f>
        <v>756</v>
      </c>
      <c r="L26" s="121">
        <f>G26+K26</f>
        <v>3108</v>
      </c>
      <c r="M26" s="121">
        <f>SUM($L$18:L26)</f>
        <v>25620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</row>
    <row r="27" spans="1:42" x14ac:dyDescent="0.2">
      <c r="A27" s="98">
        <v>10</v>
      </c>
      <c r="B27" s="99">
        <f>EDATE($B$10,A27-1)</f>
        <v>46661</v>
      </c>
      <c r="C27" s="98">
        <f>ROUNDUP(A27/12,0)</f>
        <v>1</v>
      </c>
      <c r="D27" s="121">
        <f>$B$6*(1+$B$8)^(C27-1)</f>
        <v>14</v>
      </c>
      <c r="E27" s="121">
        <f>IF(A27&gt;$B$11,0,D27*$B$5/12)</f>
        <v>2352</v>
      </c>
      <c r="F27" s="121">
        <f>-IF(A27&lt;=$B$12,E27,0)</f>
        <v>0</v>
      </c>
      <c r="G27" s="121">
        <f>E27+F27</f>
        <v>2352</v>
      </c>
      <c r="H27" s="121">
        <f>$B$7*(1+$B$9)^(C27-1)</f>
        <v>4.5</v>
      </c>
      <c r="I27" s="121">
        <f>IF(A27&gt;$B$11,0,H27*$B$5/12)</f>
        <v>756</v>
      </c>
      <c r="J27" s="121">
        <f>-IF(AND($B$13=1,A27&lt;=$B$12),I27,0)</f>
        <v>0</v>
      </c>
      <c r="K27" s="121">
        <f>I27+J27</f>
        <v>756</v>
      </c>
      <c r="L27" s="121">
        <f>G27+K27</f>
        <v>3108</v>
      </c>
      <c r="M27" s="121">
        <f>SUM($L$18:L27)</f>
        <v>28728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</row>
    <row r="28" spans="1:42" x14ac:dyDescent="0.2">
      <c r="A28" s="98">
        <v>11</v>
      </c>
      <c r="B28" s="99">
        <f>EDATE($B$10,A28-1)</f>
        <v>46692</v>
      </c>
      <c r="C28" s="98">
        <f>ROUNDUP(A28/12,0)</f>
        <v>1</v>
      </c>
      <c r="D28" s="121">
        <f>$B$6*(1+$B$8)^(C28-1)</f>
        <v>14</v>
      </c>
      <c r="E28" s="121">
        <f>IF(A28&gt;$B$11,0,D28*$B$5/12)</f>
        <v>2352</v>
      </c>
      <c r="F28" s="121">
        <f>-IF(A28&lt;=$B$12,E28,0)</f>
        <v>0</v>
      </c>
      <c r="G28" s="121">
        <f>E28+F28</f>
        <v>2352</v>
      </c>
      <c r="H28" s="121">
        <f>$B$7*(1+$B$9)^(C28-1)</f>
        <v>4.5</v>
      </c>
      <c r="I28" s="121">
        <f>IF(A28&gt;$B$11,0,H28*$B$5/12)</f>
        <v>756</v>
      </c>
      <c r="J28" s="121">
        <f>-IF(AND($B$13=1,A28&lt;=$B$12),I28,0)</f>
        <v>0</v>
      </c>
      <c r="K28" s="121">
        <f>I28+J28</f>
        <v>756</v>
      </c>
      <c r="L28" s="121">
        <f>G28+K28</f>
        <v>3108</v>
      </c>
      <c r="M28" s="121">
        <f>SUM($L$18:L28)</f>
        <v>31836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</row>
    <row r="29" spans="1:42" x14ac:dyDescent="0.2">
      <c r="A29" s="98">
        <v>12</v>
      </c>
      <c r="B29" s="99">
        <f>EDATE($B$10,A29-1)</f>
        <v>46722</v>
      </c>
      <c r="C29" s="98">
        <f>ROUNDUP(A29/12,0)</f>
        <v>1</v>
      </c>
      <c r="D29" s="121">
        <f>$B$6*(1+$B$8)^(C29-1)</f>
        <v>14</v>
      </c>
      <c r="E29" s="121">
        <f>IF(A29&gt;$B$11,0,D29*$B$5/12)</f>
        <v>2352</v>
      </c>
      <c r="F29" s="121">
        <f>-IF(A29&lt;=$B$12,E29,0)</f>
        <v>0</v>
      </c>
      <c r="G29" s="121">
        <f>E29+F29</f>
        <v>2352</v>
      </c>
      <c r="H29" s="121">
        <f>$B$7*(1+$B$9)^(C29-1)</f>
        <v>4.5</v>
      </c>
      <c r="I29" s="121">
        <f>IF(A29&gt;$B$11,0,H29*$B$5/12)</f>
        <v>756</v>
      </c>
      <c r="J29" s="121">
        <f>-IF(AND($B$13=1,A29&lt;=$B$12),I29,0)</f>
        <v>0</v>
      </c>
      <c r="K29" s="121">
        <f>I29+J29</f>
        <v>756</v>
      </c>
      <c r="L29" s="121">
        <f>G29+K29</f>
        <v>3108</v>
      </c>
      <c r="M29" s="121">
        <f>SUM($L$18:L29)</f>
        <v>34944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</row>
    <row r="30" spans="1:42" x14ac:dyDescent="0.2">
      <c r="A30" s="98">
        <v>13</v>
      </c>
      <c r="B30" s="99">
        <f>EDATE($B$10,A30-1)</f>
        <v>46753</v>
      </c>
      <c r="C30" s="98">
        <f>ROUNDUP(A30/12,0)</f>
        <v>2</v>
      </c>
      <c r="D30" s="121">
        <f>$B$6*(1+$B$8)^(C30-1)</f>
        <v>14.489999999999998</v>
      </c>
      <c r="E30" s="121">
        <f>IF(A30&gt;$B$11,0,D30*$B$5/12)</f>
        <v>2434.3199999999997</v>
      </c>
      <c r="F30" s="121">
        <f>-IF(A30&lt;=$B$12,E30,0)</f>
        <v>0</v>
      </c>
      <c r="G30" s="121">
        <f>E30+F30</f>
        <v>2434.3199999999997</v>
      </c>
      <c r="H30" s="121">
        <f>$B$7*(1+$B$9)^(C30-1)</f>
        <v>4.6349999999999998</v>
      </c>
      <c r="I30" s="121">
        <f>IF(A30&gt;$B$11,0,H30*$B$5/12)</f>
        <v>778.68</v>
      </c>
      <c r="J30" s="121">
        <f>-IF(AND($B$13=1,A30&lt;=$B$12),I30,0)</f>
        <v>0</v>
      </c>
      <c r="K30" s="121">
        <f>I30+J30</f>
        <v>778.68</v>
      </c>
      <c r="L30" s="121">
        <f>G30+K30</f>
        <v>3212.9999999999995</v>
      </c>
      <c r="M30" s="121">
        <f>SUM($L$18:L30)</f>
        <v>38157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</row>
    <row r="31" spans="1:42" x14ac:dyDescent="0.2">
      <c r="A31" s="98">
        <v>14</v>
      </c>
      <c r="B31" s="99">
        <f>EDATE($B$10,A31-1)</f>
        <v>46784</v>
      </c>
      <c r="C31" s="98">
        <f>ROUNDUP(A31/12,0)</f>
        <v>2</v>
      </c>
      <c r="D31" s="121">
        <f>$B$6*(1+$B$8)^(C31-1)</f>
        <v>14.489999999999998</v>
      </c>
      <c r="E31" s="121">
        <f>IF(A31&gt;$B$11,0,D31*$B$5/12)</f>
        <v>2434.3199999999997</v>
      </c>
      <c r="F31" s="121">
        <f>-IF(A31&lt;=$B$12,E31,0)</f>
        <v>0</v>
      </c>
      <c r="G31" s="121">
        <f>E31+F31</f>
        <v>2434.3199999999997</v>
      </c>
      <c r="H31" s="121">
        <f>$B$7*(1+$B$9)^(C31-1)</f>
        <v>4.6349999999999998</v>
      </c>
      <c r="I31" s="121">
        <f>IF(A31&gt;$B$11,0,H31*$B$5/12)</f>
        <v>778.68</v>
      </c>
      <c r="J31" s="121">
        <f>-IF(AND($B$13=1,A31&lt;=$B$12),I31,0)</f>
        <v>0</v>
      </c>
      <c r="K31" s="121">
        <f>I31+J31</f>
        <v>778.68</v>
      </c>
      <c r="L31" s="121">
        <f>G31+K31</f>
        <v>3212.9999999999995</v>
      </c>
      <c r="M31" s="121">
        <f>SUM($L$18:L31)</f>
        <v>41370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</row>
    <row r="32" spans="1:42" x14ac:dyDescent="0.2">
      <c r="A32" s="98">
        <v>15</v>
      </c>
      <c r="B32" s="99">
        <f>EDATE($B$10,A32-1)</f>
        <v>46813</v>
      </c>
      <c r="C32" s="98">
        <f>ROUNDUP(A32/12,0)</f>
        <v>2</v>
      </c>
      <c r="D32" s="121">
        <f>$B$6*(1+$B$8)^(C32-1)</f>
        <v>14.489999999999998</v>
      </c>
      <c r="E32" s="121">
        <f>IF(A32&gt;$B$11,0,D32*$B$5/12)</f>
        <v>2434.3199999999997</v>
      </c>
      <c r="F32" s="121">
        <f>-IF(A32&lt;=$B$12,E32,0)</f>
        <v>0</v>
      </c>
      <c r="G32" s="121">
        <f>E32+F32</f>
        <v>2434.3199999999997</v>
      </c>
      <c r="H32" s="121">
        <f>$B$7*(1+$B$9)^(C32-1)</f>
        <v>4.6349999999999998</v>
      </c>
      <c r="I32" s="121">
        <f>IF(A32&gt;$B$11,0,H32*$B$5/12)</f>
        <v>778.68</v>
      </c>
      <c r="J32" s="121">
        <f>-IF(AND($B$13=1,A32&lt;=$B$12),I32,0)</f>
        <v>0</v>
      </c>
      <c r="K32" s="121">
        <f>I32+J32</f>
        <v>778.68</v>
      </c>
      <c r="L32" s="121">
        <f>G32+K32</f>
        <v>3212.9999999999995</v>
      </c>
      <c r="M32" s="121">
        <f>SUM($L$18:L32)</f>
        <v>44583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</row>
    <row r="33" spans="1:42" x14ac:dyDescent="0.2">
      <c r="A33" s="98">
        <v>16</v>
      </c>
      <c r="B33" s="99">
        <f>EDATE($B$10,A33-1)</f>
        <v>46844</v>
      </c>
      <c r="C33" s="98">
        <f>ROUNDUP(A33/12,0)</f>
        <v>2</v>
      </c>
      <c r="D33" s="121">
        <f>$B$6*(1+$B$8)^(C33-1)</f>
        <v>14.489999999999998</v>
      </c>
      <c r="E33" s="121">
        <f>IF(A33&gt;$B$11,0,D33*$B$5/12)</f>
        <v>2434.3199999999997</v>
      </c>
      <c r="F33" s="121">
        <f>-IF(A33&lt;=$B$12,E33,0)</f>
        <v>0</v>
      </c>
      <c r="G33" s="121">
        <f>E33+F33</f>
        <v>2434.3199999999997</v>
      </c>
      <c r="H33" s="121">
        <f>$B$7*(1+$B$9)^(C33-1)</f>
        <v>4.6349999999999998</v>
      </c>
      <c r="I33" s="121">
        <f>IF(A33&gt;$B$11,0,H33*$B$5/12)</f>
        <v>778.68</v>
      </c>
      <c r="J33" s="121">
        <f>-IF(AND($B$13=1,A33&lt;=$B$12),I33,0)</f>
        <v>0</v>
      </c>
      <c r="K33" s="121">
        <f>I33+J33</f>
        <v>778.68</v>
      </c>
      <c r="L33" s="121">
        <f>G33+K33</f>
        <v>3212.9999999999995</v>
      </c>
      <c r="M33" s="121">
        <f>SUM($L$18:L33)</f>
        <v>47796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</row>
    <row r="34" spans="1:42" x14ac:dyDescent="0.2">
      <c r="A34" s="98">
        <v>17</v>
      </c>
      <c r="B34" s="99">
        <f>EDATE($B$10,A34-1)</f>
        <v>46874</v>
      </c>
      <c r="C34" s="98">
        <f>ROUNDUP(A34/12,0)</f>
        <v>2</v>
      </c>
      <c r="D34" s="121">
        <f>$B$6*(1+$B$8)^(C34-1)</f>
        <v>14.489999999999998</v>
      </c>
      <c r="E34" s="121">
        <f>IF(A34&gt;$B$11,0,D34*$B$5/12)</f>
        <v>2434.3199999999997</v>
      </c>
      <c r="F34" s="121">
        <f>-IF(A34&lt;=$B$12,E34,0)</f>
        <v>0</v>
      </c>
      <c r="G34" s="121">
        <f>E34+F34</f>
        <v>2434.3199999999997</v>
      </c>
      <c r="H34" s="121">
        <f>$B$7*(1+$B$9)^(C34-1)</f>
        <v>4.6349999999999998</v>
      </c>
      <c r="I34" s="121">
        <f>IF(A34&gt;$B$11,0,H34*$B$5/12)</f>
        <v>778.68</v>
      </c>
      <c r="J34" s="121">
        <f>-IF(AND($B$13=1,A34&lt;=$B$12),I34,0)</f>
        <v>0</v>
      </c>
      <c r="K34" s="121">
        <f>I34+J34</f>
        <v>778.68</v>
      </c>
      <c r="L34" s="121">
        <f>G34+K34</f>
        <v>3212.9999999999995</v>
      </c>
      <c r="M34" s="121">
        <f>SUM($L$18:L34)</f>
        <v>51009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</row>
    <row r="35" spans="1:42" x14ac:dyDescent="0.2">
      <c r="A35" s="98">
        <v>18</v>
      </c>
      <c r="B35" s="99">
        <f>EDATE($B$10,A35-1)</f>
        <v>46905</v>
      </c>
      <c r="C35" s="98">
        <f>ROUNDUP(A35/12,0)</f>
        <v>2</v>
      </c>
      <c r="D35" s="121">
        <f>$B$6*(1+$B$8)^(C35-1)</f>
        <v>14.489999999999998</v>
      </c>
      <c r="E35" s="121">
        <f>IF(A35&gt;$B$11,0,D35*$B$5/12)</f>
        <v>2434.3199999999997</v>
      </c>
      <c r="F35" s="121">
        <f>-IF(A35&lt;=$B$12,E35,0)</f>
        <v>0</v>
      </c>
      <c r="G35" s="121">
        <f>E35+F35</f>
        <v>2434.3199999999997</v>
      </c>
      <c r="H35" s="121">
        <f>$B$7*(1+$B$9)^(C35-1)</f>
        <v>4.6349999999999998</v>
      </c>
      <c r="I35" s="121">
        <f>IF(A35&gt;$B$11,0,H35*$B$5/12)</f>
        <v>778.68</v>
      </c>
      <c r="J35" s="121">
        <f>-IF(AND($B$13=1,A35&lt;=$B$12),I35,0)</f>
        <v>0</v>
      </c>
      <c r="K35" s="121">
        <f>I35+J35</f>
        <v>778.68</v>
      </c>
      <c r="L35" s="121">
        <f>G35+K35</f>
        <v>3212.9999999999995</v>
      </c>
      <c r="M35" s="121">
        <f>SUM($L$18:L35)</f>
        <v>54222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</row>
    <row r="36" spans="1:42" x14ac:dyDescent="0.2">
      <c r="A36" s="98">
        <v>19</v>
      </c>
      <c r="B36" s="99">
        <f>EDATE($B$10,A36-1)</f>
        <v>46935</v>
      </c>
      <c r="C36" s="98">
        <f>ROUNDUP(A36/12,0)</f>
        <v>2</v>
      </c>
      <c r="D36" s="121">
        <f>$B$6*(1+$B$8)^(C36-1)</f>
        <v>14.489999999999998</v>
      </c>
      <c r="E36" s="121">
        <f>IF(A36&gt;$B$11,0,D36*$B$5/12)</f>
        <v>2434.3199999999997</v>
      </c>
      <c r="F36" s="121">
        <f>-IF(A36&lt;=$B$12,E36,0)</f>
        <v>0</v>
      </c>
      <c r="G36" s="121">
        <f>E36+F36</f>
        <v>2434.3199999999997</v>
      </c>
      <c r="H36" s="121">
        <f>$B$7*(1+$B$9)^(C36-1)</f>
        <v>4.6349999999999998</v>
      </c>
      <c r="I36" s="121">
        <f>IF(A36&gt;$B$11,0,H36*$B$5/12)</f>
        <v>778.68</v>
      </c>
      <c r="J36" s="121">
        <f>-IF(AND($B$13=1,A36&lt;=$B$12),I36,0)</f>
        <v>0</v>
      </c>
      <c r="K36" s="121">
        <f>I36+J36</f>
        <v>778.68</v>
      </c>
      <c r="L36" s="121">
        <f>G36+K36</f>
        <v>3212.9999999999995</v>
      </c>
      <c r="M36" s="121">
        <f>SUM($L$18:L36)</f>
        <v>57435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</row>
    <row r="37" spans="1:42" x14ac:dyDescent="0.2">
      <c r="A37" s="98">
        <v>20</v>
      </c>
      <c r="B37" s="99">
        <f>EDATE($B$10,A37-1)</f>
        <v>46966</v>
      </c>
      <c r="C37" s="98">
        <f>ROUNDUP(A37/12,0)</f>
        <v>2</v>
      </c>
      <c r="D37" s="121">
        <f>$B$6*(1+$B$8)^(C37-1)</f>
        <v>14.489999999999998</v>
      </c>
      <c r="E37" s="121">
        <f>IF(A37&gt;$B$11,0,D37*$B$5/12)</f>
        <v>2434.3199999999997</v>
      </c>
      <c r="F37" s="121">
        <f>-IF(A37&lt;=$B$12,E37,0)</f>
        <v>0</v>
      </c>
      <c r="G37" s="121">
        <f>E37+F37</f>
        <v>2434.3199999999997</v>
      </c>
      <c r="H37" s="121">
        <f>$B$7*(1+$B$9)^(C37-1)</f>
        <v>4.6349999999999998</v>
      </c>
      <c r="I37" s="121">
        <f>IF(A37&gt;$B$11,0,H37*$B$5/12)</f>
        <v>778.68</v>
      </c>
      <c r="J37" s="121">
        <f>-IF(AND($B$13=1,A37&lt;=$B$12),I37,0)</f>
        <v>0</v>
      </c>
      <c r="K37" s="121">
        <f>I37+J37</f>
        <v>778.68</v>
      </c>
      <c r="L37" s="121">
        <f>G37+K37</f>
        <v>3212.9999999999995</v>
      </c>
      <c r="M37" s="121">
        <f>SUM($L$18:L37)</f>
        <v>60648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</row>
    <row r="38" spans="1:42" x14ac:dyDescent="0.2">
      <c r="A38" s="98">
        <v>21</v>
      </c>
      <c r="B38" s="99">
        <f>EDATE($B$10,A38-1)</f>
        <v>46997</v>
      </c>
      <c r="C38" s="98">
        <f>ROUNDUP(A38/12,0)</f>
        <v>2</v>
      </c>
      <c r="D38" s="121">
        <f>$B$6*(1+$B$8)^(C38-1)</f>
        <v>14.489999999999998</v>
      </c>
      <c r="E38" s="121">
        <f>IF(A38&gt;$B$11,0,D38*$B$5/12)</f>
        <v>2434.3199999999997</v>
      </c>
      <c r="F38" s="121">
        <f>-IF(A38&lt;=$B$12,E38,0)</f>
        <v>0</v>
      </c>
      <c r="G38" s="121">
        <f>E38+F38</f>
        <v>2434.3199999999997</v>
      </c>
      <c r="H38" s="121">
        <f>$B$7*(1+$B$9)^(C38-1)</f>
        <v>4.6349999999999998</v>
      </c>
      <c r="I38" s="121">
        <f>IF(A38&gt;$B$11,0,H38*$B$5/12)</f>
        <v>778.68</v>
      </c>
      <c r="J38" s="121">
        <f>-IF(AND($B$13=1,A38&lt;=$B$12),I38,0)</f>
        <v>0</v>
      </c>
      <c r="K38" s="121">
        <f>I38+J38</f>
        <v>778.68</v>
      </c>
      <c r="L38" s="121">
        <f>G38+K38</f>
        <v>3212.9999999999995</v>
      </c>
      <c r="M38" s="121">
        <f>SUM($L$18:L38)</f>
        <v>63861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</row>
    <row r="39" spans="1:42" x14ac:dyDescent="0.2">
      <c r="A39" s="98">
        <v>22</v>
      </c>
      <c r="B39" s="99">
        <f>EDATE($B$10,A39-1)</f>
        <v>47027</v>
      </c>
      <c r="C39" s="98">
        <f>ROUNDUP(A39/12,0)</f>
        <v>2</v>
      </c>
      <c r="D39" s="121">
        <f>$B$6*(1+$B$8)^(C39-1)</f>
        <v>14.489999999999998</v>
      </c>
      <c r="E39" s="121">
        <f>IF(A39&gt;$B$11,0,D39*$B$5/12)</f>
        <v>2434.3199999999997</v>
      </c>
      <c r="F39" s="121">
        <f>-IF(A39&lt;=$B$12,E39,0)</f>
        <v>0</v>
      </c>
      <c r="G39" s="121">
        <f>E39+F39</f>
        <v>2434.3199999999997</v>
      </c>
      <c r="H39" s="121">
        <f>$B$7*(1+$B$9)^(C39-1)</f>
        <v>4.6349999999999998</v>
      </c>
      <c r="I39" s="121">
        <f>IF(A39&gt;$B$11,0,H39*$B$5/12)</f>
        <v>778.68</v>
      </c>
      <c r="J39" s="121">
        <f>-IF(AND($B$13=1,A39&lt;=$B$12),I39,0)</f>
        <v>0</v>
      </c>
      <c r="K39" s="121">
        <f>I39+J39</f>
        <v>778.68</v>
      </c>
      <c r="L39" s="121">
        <f>G39+K39</f>
        <v>3212.9999999999995</v>
      </c>
      <c r="M39" s="121">
        <f>SUM($L$18:L39)</f>
        <v>67074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</row>
    <row r="40" spans="1:42" x14ac:dyDescent="0.2">
      <c r="A40" s="98">
        <v>23</v>
      </c>
      <c r="B40" s="99">
        <f>EDATE($B$10,A40-1)</f>
        <v>47058</v>
      </c>
      <c r="C40" s="98">
        <f>ROUNDUP(A40/12,0)</f>
        <v>2</v>
      </c>
      <c r="D40" s="121">
        <f>$B$6*(1+$B$8)^(C40-1)</f>
        <v>14.489999999999998</v>
      </c>
      <c r="E40" s="121">
        <f>IF(A40&gt;$B$11,0,D40*$B$5/12)</f>
        <v>2434.3199999999997</v>
      </c>
      <c r="F40" s="121">
        <f>-IF(A40&lt;=$B$12,E40,0)</f>
        <v>0</v>
      </c>
      <c r="G40" s="121">
        <f>E40+F40</f>
        <v>2434.3199999999997</v>
      </c>
      <c r="H40" s="121">
        <f>$B$7*(1+$B$9)^(C40-1)</f>
        <v>4.6349999999999998</v>
      </c>
      <c r="I40" s="121">
        <f>IF(A40&gt;$B$11,0,H40*$B$5/12)</f>
        <v>778.68</v>
      </c>
      <c r="J40" s="121">
        <f>-IF(AND($B$13=1,A40&lt;=$B$12),I40,0)</f>
        <v>0</v>
      </c>
      <c r="K40" s="121">
        <f>I40+J40</f>
        <v>778.68</v>
      </c>
      <c r="L40" s="121">
        <f>G40+K40</f>
        <v>3212.9999999999995</v>
      </c>
      <c r="M40" s="121">
        <f>SUM($L$18:L40)</f>
        <v>70287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</row>
    <row r="41" spans="1:42" x14ac:dyDescent="0.2">
      <c r="A41" s="98">
        <v>24</v>
      </c>
      <c r="B41" s="99">
        <f>EDATE($B$10,A41-1)</f>
        <v>47088</v>
      </c>
      <c r="C41" s="98">
        <f>ROUNDUP(A41/12,0)</f>
        <v>2</v>
      </c>
      <c r="D41" s="121">
        <f>$B$6*(1+$B$8)^(C41-1)</f>
        <v>14.489999999999998</v>
      </c>
      <c r="E41" s="121">
        <f>IF(A41&gt;$B$11,0,D41*$B$5/12)</f>
        <v>2434.3199999999997</v>
      </c>
      <c r="F41" s="121">
        <f>-IF(A41&lt;=$B$12,E41,0)</f>
        <v>0</v>
      </c>
      <c r="G41" s="121">
        <f>E41+F41</f>
        <v>2434.3199999999997</v>
      </c>
      <c r="H41" s="121">
        <f>$B$7*(1+$B$9)^(C41-1)</f>
        <v>4.6349999999999998</v>
      </c>
      <c r="I41" s="121">
        <f>IF(A41&gt;$B$11,0,H41*$B$5/12)</f>
        <v>778.68</v>
      </c>
      <c r="J41" s="121">
        <f>-IF(AND($B$13=1,A41&lt;=$B$12),I41,0)</f>
        <v>0</v>
      </c>
      <c r="K41" s="121">
        <f>I41+J41</f>
        <v>778.68</v>
      </c>
      <c r="L41" s="121">
        <f>G41+K41</f>
        <v>3212.9999999999995</v>
      </c>
      <c r="M41" s="121">
        <f>SUM($L$18:L41)</f>
        <v>73500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</row>
    <row r="42" spans="1:42" x14ac:dyDescent="0.2">
      <c r="A42" s="98">
        <v>25</v>
      </c>
      <c r="B42" s="99">
        <f>EDATE($B$10,A42-1)</f>
        <v>47119</v>
      </c>
      <c r="C42" s="98">
        <f>ROUNDUP(A42/12,0)</f>
        <v>3</v>
      </c>
      <c r="D42" s="121">
        <f>$B$6*(1+$B$8)^(C42-1)</f>
        <v>14.997149999999998</v>
      </c>
      <c r="E42" s="121">
        <f>IF(A42&gt;$B$11,0,D42*$B$5/12)</f>
        <v>2519.5211999999997</v>
      </c>
      <c r="F42" s="121">
        <f>-IF(A42&lt;=$B$12,E42,0)</f>
        <v>0</v>
      </c>
      <c r="G42" s="121">
        <f>E42+F42</f>
        <v>2519.5211999999997</v>
      </c>
      <c r="H42" s="121">
        <f>$B$7*(1+$B$9)^(C42-1)</f>
        <v>4.7740499999999999</v>
      </c>
      <c r="I42" s="121">
        <f>IF(A42&gt;$B$11,0,H42*$B$5/12)</f>
        <v>802.04039999999998</v>
      </c>
      <c r="J42" s="121">
        <f>-IF(AND($B$13=1,A42&lt;=$B$12),I42,0)</f>
        <v>0</v>
      </c>
      <c r="K42" s="121">
        <f>I42+J42</f>
        <v>802.04039999999998</v>
      </c>
      <c r="L42" s="121">
        <f>G42+K42</f>
        <v>3321.5615999999995</v>
      </c>
      <c r="M42" s="121">
        <f>SUM($L$18:L42)</f>
        <v>76821.561600000001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</row>
    <row r="43" spans="1:42" x14ac:dyDescent="0.2">
      <c r="A43" s="98">
        <v>26</v>
      </c>
      <c r="B43" s="99">
        <f>EDATE($B$10,A43-1)</f>
        <v>47150</v>
      </c>
      <c r="C43" s="98">
        <f>ROUNDUP(A43/12,0)</f>
        <v>3</v>
      </c>
      <c r="D43" s="121">
        <f>$B$6*(1+$B$8)^(C43-1)</f>
        <v>14.997149999999998</v>
      </c>
      <c r="E43" s="121">
        <f>IF(A43&gt;$B$11,0,D43*$B$5/12)</f>
        <v>2519.5211999999997</v>
      </c>
      <c r="F43" s="121">
        <f>-IF(A43&lt;=$B$12,E43,0)</f>
        <v>0</v>
      </c>
      <c r="G43" s="121">
        <f>E43+F43</f>
        <v>2519.5211999999997</v>
      </c>
      <c r="H43" s="121">
        <f>$B$7*(1+$B$9)^(C43-1)</f>
        <v>4.7740499999999999</v>
      </c>
      <c r="I43" s="121">
        <f>IF(A43&gt;$B$11,0,H43*$B$5/12)</f>
        <v>802.04039999999998</v>
      </c>
      <c r="J43" s="121">
        <f>-IF(AND($B$13=1,A43&lt;=$B$12),I43,0)</f>
        <v>0</v>
      </c>
      <c r="K43" s="121">
        <f>I43+J43</f>
        <v>802.04039999999998</v>
      </c>
      <c r="L43" s="121">
        <f>G43+K43</f>
        <v>3321.5615999999995</v>
      </c>
      <c r="M43" s="121">
        <f>SUM($L$18:L43)</f>
        <v>80143.123200000002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</row>
    <row r="44" spans="1:42" x14ac:dyDescent="0.2">
      <c r="A44" s="98">
        <v>27</v>
      </c>
      <c r="B44" s="99">
        <f>EDATE($B$10,A44-1)</f>
        <v>47178</v>
      </c>
      <c r="C44" s="98">
        <f>ROUNDUP(A44/12,0)</f>
        <v>3</v>
      </c>
      <c r="D44" s="121">
        <f>$B$6*(1+$B$8)^(C44-1)</f>
        <v>14.997149999999998</v>
      </c>
      <c r="E44" s="121">
        <f>IF(A44&gt;$B$11,0,D44*$B$5/12)</f>
        <v>2519.5211999999997</v>
      </c>
      <c r="F44" s="121">
        <f>-IF(A44&lt;=$B$12,E44,0)</f>
        <v>0</v>
      </c>
      <c r="G44" s="121">
        <f>E44+F44</f>
        <v>2519.5211999999997</v>
      </c>
      <c r="H44" s="121">
        <f>$B$7*(1+$B$9)^(C44-1)</f>
        <v>4.7740499999999999</v>
      </c>
      <c r="I44" s="121">
        <f>IF(A44&gt;$B$11,0,H44*$B$5/12)</f>
        <v>802.04039999999998</v>
      </c>
      <c r="J44" s="121">
        <f>-IF(AND($B$13=1,A44&lt;=$B$12),I44,0)</f>
        <v>0</v>
      </c>
      <c r="K44" s="121">
        <f>I44+J44</f>
        <v>802.04039999999998</v>
      </c>
      <c r="L44" s="121">
        <f>G44+K44</f>
        <v>3321.5615999999995</v>
      </c>
      <c r="M44" s="121">
        <f>SUM($L$18:L44)</f>
        <v>83464.684800000003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</row>
    <row r="45" spans="1:42" x14ac:dyDescent="0.2">
      <c r="A45" s="98">
        <v>28</v>
      </c>
      <c r="B45" s="99">
        <f>EDATE($B$10,A45-1)</f>
        <v>47209</v>
      </c>
      <c r="C45" s="98">
        <f>ROUNDUP(A45/12,0)</f>
        <v>3</v>
      </c>
      <c r="D45" s="121">
        <f>$B$6*(1+$B$8)^(C45-1)</f>
        <v>14.997149999999998</v>
      </c>
      <c r="E45" s="121">
        <f>IF(A45&gt;$B$11,0,D45*$B$5/12)</f>
        <v>2519.5211999999997</v>
      </c>
      <c r="F45" s="121">
        <f>-IF(A45&lt;=$B$12,E45,0)</f>
        <v>0</v>
      </c>
      <c r="G45" s="121">
        <f>E45+F45</f>
        <v>2519.5211999999997</v>
      </c>
      <c r="H45" s="121">
        <f>$B$7*(1+$B$9)^(C45-1)</f>
        <v>4.7740499999999999</v>
      </c>
      <c r="I45" s="121">
        <f>IF(A45&gt;$B$11,0,H45*$B$5/12)</f>
        <v>802.04039999999998</v>
      </c>
      <c r="J45" s="121">
        <f>-IF(AND($B$13=1,A45&lt;=$B$12),I45,0)</f>
        <v>0</v>
      </c>
      <c r="K45" s="121">
        <f>I45+J45</f>
        <v>802.04039999999998</v>
      </c>
      <c r="L45" s="121">
        <f>G45+K45</f>
        <v>3321.5615999999995</v>
      </c>
      <c r="M45" s="121">
        <f>SUM($L$18:L45)</f>
        <v>86786.246400000004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</row>
    <row r="46" spans="1:42" x14ac:dyDescent="0.2">
      <c r="A46" s="98">
        <v>29</v>
      </c>
      <c r="B46" s="99">
        <f>EDATE($B$10,A46-1)</f>
        <v>47239</v>
      </c>
      <c r="C46" s="98">
        <f>ROUNDUP(A46/12,0)</f>
        <v>3</v>
      </c>
      <c r="D46" s="121">
        <f>$B$6*(1+$B$8)^(C46-1)</f>
        <v>14.997149999999998</v>
      </c>
      <c r="E46" s="121">
        <f>IF(A46&gt;$B$11,0,D46*$B$5/12)</f>
        <v>2519.5211999999997</v>
      </c>
      <c r="F46" s="121">
        <f>-IF(A46&lt;=$B$12,E46,0)</f>
        <v>0</v>
      </c>
      <c r="G46" s="121">
        <f>E46+F46</f>
        <v>2519.5211999999997</v>
      </c>
      <c r="H46" s="121">
        <f>$B$7*(1+$B$9)^(C46-1)</f>
        <v>4.7740499999999999</v>
      </c>
      <c r="I46" s="121">
        <f>IF(A46&gt;$B$11,0,H46*$B$5/12)</f>
        <v>802.04039999999998</v>
      </c>
      <c r="J46" s="121">
        <f>-IF(AND($B$13=1,A46&lt;=$B$12),I46,0)</f>
        <v>0</v>
      </c>
      <c r="K46" s="121">
        <f>I46+J46</f>
        <v>802.04039999999998</v>
      </c>
      <c r="L46" s="121">
        <f>G46+K46</f>
        <v>3321.5615999999995</v>
      </c>
      <c r="M46" s="121">
        <f>SUM($L$18:L46)</f>
        <v>90107.808000000005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</row>
    <row r="47" spans="1:42" x14ac:dyDescent="0.2">
      <c r="A47" s="98">
        <v>30</v>
      </c>
      <c r="B47" s="99">
        <f>EDATE($B$10,A47-1)</f>
        <v>47270</v>
      </c>
      <c r="C47" s="98">
        <f>ROUNDUP(A47/12,0)</f>
        <v>3</v>
      </c>
      <c r="D47" s="121">
        <f>$B$6*(1+$B$8)^(C47-1)</f>
        <v>14.997149999999998</v>
      </c>
      <c r="E47" s="121">
        <f>IF(A47&gt;$B$11,0,D47*$B$5/12)</f>
        <v>2519.5211999999997</v>
      </c>
      <c r="F47" s="121">
        <f>-IF(A47&lt;=$B$12,E47,0)</f>
        <v>0</v>
      </c>
      <c r="G47" s="121">
        <f>E47+F47</f>
        <v>2519.5211999999997</v>
      </c>
      <c r="H47" s="121">
        <f>$B$7*(1+$B$9)^(C47-1)</f>
        <v>4.7740499999999999</v>
      </c>
      <c r="I47" s="121">
        <f>IF(A47&gt;$B$11,0,H47*$B$5/12)</f>
        <v>802.04039999999998</v>
      </c>
      <c r="J47" s="121">
        <f>-IF(AND($B$13=1,A47&lt;=$B$12),I47,0)</f>
        <v>0</v>
      </c>
      <c r="K47" s="121">
        <f>I47+J47</f>
        <v>802.04039999999998</v>
      </c>
      <c r="L47" s="121">
        <f>G47+K47</f>
        <v>3321.5615999999995</v>
      </c>
      <c r="M47" s="121">
        <f>SUM($L$18:L47)</f>
        <v>93429.369600000005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</row>
    <row r="48" spans="1:42" x14ac:dyDescent="0.2">
      <c r="A48" s="98">
        <v>31</v>
      </c>
      <c r="B48" s="99">
        <f>EDATE($B$10,A48-1)</f>
        <v>47300</v>
      </c>
      <c r="C48" s="98">
        <f>ROUNDUP(A48/12,0)</f>
        <v>3</v>
      </c>
      <c r="D48" s="121">
        <f>$B$6*(1+$B$8)^(C48-1)</f>
        <v>14.997149999999998</v>
      </c>
      <c r="E48" s="121">
        <f>IF(A48&gt;$B$11,0,D48*$B$5/12)</f>
        <v>2519.5211999999997</v>
      </c>
      <c r="F48" s="121">
        <f>-IF(A48&lt;=$B$12,E48,0)</f>
        <v>0</v>
      </c>
      <c r="G48" s="121">
        <f>E48+F48</f>
        <v>2519.5211999999997</v>
      </c>
      <c r="H48" s="121">
        <f>$B$7*(1+$B$9)^(C48-1)</f>
        <v>4.7740499999999999</v>
      </c>
      <c r="I48" s="121">
        <f>IF(A48&gt;$B$11,0,H48*$B$5/12)</f>
        <v>802.04039999999998</v>
      </c>
      <c r="J48" s="121">
        <f>-IF(AND($B$13=1,A48&lt;=$B$12),I48,0)</f>
        <v>0</v>
      </c>
      <c r="K48" s="121">
        <f>I48+J48</f>
        <v>802.04039999999998</v>
      </c>
      <c r="L48" s="121">
        <f>G48+K48</f>
        <v>3321.5615999999995</v>
      </c>
      <c r="M48" s="121">
        <f>SUM($L$18:L48)</f>
        <v>96750.931200000006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</row>
    <row r="49" spans="1:42" x14ac:dyDescent="0.2">
      <c r="A49" s="98">
        <v>32</v>
      </c>
      <c r="B49" s="99">
        <f>EDATE($B$10,A49-1)</f>
        <v>47331</v>
      </c>
      <c r="C49" s="98">
        <f>ROUNDUP(A49/12,0)</f>
        <v>3</v>
      </c>
      <c r="D49" s="121">
        <f>$B$6*(1+$B$8)^(C49-1)</f>
        <v>14.997149999999998</v>
      </c>
      <c r="E49" s="121">
        <f>IF(A49&gt;$B$11,0,D49*$B$5/12)</f>
        <v>2519.5211999999997</v>
      </c>
      <c r="F49" s="121">
        <f>-IF(A49&lt;=$B$12,E49,0)</f>
        <v>0</v>
      </c>
      <c r="G49" s="121">
        <f>E49+F49</f>
        <v>2519.5211999999997</v>
      </c>
      <c r="H49" s="121">
        <f>$B$7*(1+$B$9)^(C49-1)</f>
        <v>4.7740499999999999</v>
      </c>
      <c r="I49" s="121">
        <f>IF(A49&gt;$B$11,0,H49*$B$5/12)</f>
        <v>802.04039999999998</v>
      </c>
      <c r="J49" s="121">
        <f>-IF(AND($B$13=1,A49&lt;=$B$12),I49,0)</f>
        <v>0</v>
      </c>
      <c r="K49" s="121">
        <f>I49+J49</f>
        <v>802.04039999999998</v>
      </c>
      <c r="L49" s="121">
        <f>G49+K49</f>
        <v>3321.5615999999995</v>
      </c>
      <c r="M49" s="121">
        <f>SUM($L$18:L49)</f>
        <v>100072.49280000001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</row>
    <row r="50" spans="1:42" x14ac:dyDescent="0.2">
      <c r="A50" s="98">
        <v>33</v>
      </c>
      <c r="B50" s="99">
        <f>EDATE($B$10,A50-1)</f>
        <v>47362</v>
      </c>
      <c r="C50" s="98">
        <f>ROUNDUP(A50/12,0)</f>
        <v>3</v>
      </c>
      <c r="D50" s="121">
        <f>$B$6*(1+$B$8)^(C50-1)</f>
        <v>14.997149999999998</v>
      </c>
      <c r="E50" s="121">
        <f>IF(A50&gt;$B$11,0,D50*$B$5/12)</f>
        <v>2519.5211999999997</v>
      </c>
      <c r="F50" s="121">
        <f>-IF(A50&lt;=$B$12,E50,0)</f>
        <v>0</v>
      </c>
      <c r="G50" s="121">
        <f>E50+F50</f>
        <v>2519.5211999999997</v>
      </c>
      <c r="H50" s="121">
        <f>$B$7*(1+$B$9)^(C50-1)</f>
        <v>4.7740499999999999</v>
      </c>
      <c r="I50" s="121">
        <f>IF(A50&gt;$B$11,0,H50*$B$5/12)</f>
        <v>802.04039999999998</v>
      </c>
      <c r="J50" s="121">
        <f>-IF(AND($B$13=1,A50&lt;=$B$12),I50,0)</f>
        <v>0</v>
      </c>
      <c r="K50" s="121">
        <f>I50+J50</f>
        <v>802.04039999999998</v>
      </c>
      <c r="L50" s="121">
        <f>G50+K50</f>
        <v>3321.5615999999995</v>
      </c>
      <c r="M50" s="121">
        <f>SUM($L$18:L50)</f>
        <v>103394.05440000001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</row>
    <row r="51" spans="1:42" x14ac:dyDescent="0.2">
      <c r="A51" s="98">
        <v>34</v>
      </c>
      <c r="B51" s="99">
        <f>EDATE($B$10,A51-1)</f>
        <v>47392</v>
      </c>
      <c r="C51" s="98">
        <f>ROUNDUP(A51/12,0)</f>
        <v>3</v>
      </c>
      <c r="D51" s="121">
        <f>$B$6*(1+$B$8)^(C51-1)</f>
        <v>14.997149999999998</v>
      </c>
      <c r="E51" s="121">
        <f>IF(A51&gt;$B$11,0,D51*$B$5/12)</f>
        <v>2519.5211999999997</v>
      </c>
      <c r="F51" s="121">
        <f>-IF(A51&lt;=$B$12,E51,0)</f>
        <v>0</v>
      </c>
      <c r="G51" s="121">
        <f>E51+F51</f>
        <v>2519.5211999999997</v>
      </c>
      <c r="H51" s="121">
        <f>$B$7*(1+$B$9)^(C51-1)</f>
        <v>4.7740499999999999</v>
      </c>
      <c r="I51" s="121">
        <f>IF(A51&gt;$B$11,0,H51*$B$5/12)</f>
        <v>802.04039999999998</v>
      </c>
      <c r="J51" s="121">
        <f>-IF(AND($B$13=1,A51&lt;=$B$12),I51,0)</f>
        <v>0</v>
      </c>
      <c r="K51" s="121">
        <f>I51+J51</f>
        <v>802.04039999999998</v>
      </c>
      <c r="L51" s="121">
        <f>G51+K51</f>
        <v>3321.5615999999995</v>
      </c>
      <c r="M51" s="121">
        <f>SUM($L$18:L51)</f>
        <v>106715.61600000001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</row>
    <row r="52" spans="1:42" x14ac:dyDescent="0.2">
      <c r="A52" s="98">
        <v>35</v>
      </c>
      <c r="B52" s="99">
        <f>EDATE($B$10,A52-1)</f>
        <v>47423</v>
      </c>
      <c r="C52" s="98">
        <f>ROUNDUP(A52/12,0)</f>
        <v>3</v>
      </c>
      <c r="D52" s="121">
        <f>$B$6*(1+$B$8)^(C52-1)</f>
        <v>14.997149999999998</v>
      </c>
      <c r="E52" s="121">
        <f>IF(A52&gt;$B$11,0,D52*$B$5/12)</f>
        <v>2519.5211999999997</v>
      </c>
      <c r="F52" s="121">
        <f>-IF(A52&lt;=$B$12,E52,0)</f>
        <v>0</v>
      </c>
      <c r="G52" s="121">
        <f>E52+F52</f>
        <v>2519.5211999999997</v>
      </c>
      <c r="H52" s="121">
        <f>$B$7*(1+$B$9)^(C52-1)</f>
        <v>4.7740499999999999</v>
      </c>
      <c r="I52" s="121">
        <f>IF(A52&gt;$B$11,0,H52*$B$5/12)</f>
        <v>802.04039999999998</v>
      </c>
      <c r="J52" s="121">
        <f>-IF(AND($B$13=1,A52&lt;=$B$12),I52,0)</f>
        <v>0</v>
      </c>
      <c r="K52" s="121">
        <f>I52+J52</f>
        <v>802.04039999999998</v>
      </c>
      <c r="L52" s="121">
        <f>G52+K52</f>
        <v>3321.5615999999995</v>
      </c>
      <c r="M52" s="121">
        <f>SUM($L$18:L52)</f>
        <v>110037.17760000001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</row>
    <row r="53" spans="1:42" x14ac:dyDescent="0.2">
      <c r="A53" s="98">
        <v>36</v>
      </c>
      <c r="B53" s="99">
        <f>EDATE($B$10,A53-1)</f>
        <v>47453</v>
      </c>
      <c r="C53" s="98">
        <f>ROUNDUP(A53/12,0)</f>
        <v>3</v>
      </c>
      <c r="D53" s="121">
        <f>$B$6*(1+$B$8)^(C53-1)</f>
        <v>14.997149999999998</v>
      </c>
      <c r="E53" s="121">
        <f>IF(A53&gt;$B$11,0,D53*$B$5/12)</f>
        <v>2519.5211999999997</v>
      </c>
      <c r="F53" s="121">
        <f>-IF(A53&lt;=$B$12,E53,0)</f>
        <v>0</v>
      </c>
      <c r="G53" s="121">
        <f>E53+F53</f>
        <v>2519.5211999999997</v>
      </c>
      <c r="H53" s="121">
        <f>$B$7*(1+$B$9)^(C53-1)</f>
        <v>4.7740499999999999</v>
      </c>
      <c r="I53" s="121">
        <f>IF(A53&gt;$B$11,0,H53*$B$5/12)</f>
        <v>802.04039999999998</v>
      </c>
      <c r="J53" s="121">
        <f>-IF(AND($B$13=1,A53&lt;=$B$12),I53,0)</f>
        <v>0</v>
      </c>
      <c r="K53" s="121">
        <f>I53+J53</f>
        <v>802.04039999999998</v>
      </c>
      <c r="L53" s="121">
        <f>G53+K53</f>
        <v>3321.5615999999995</v>
      </c>
      <c r="M53" s="121">
        <f>SUM($L$18:L53)</f>
        <v>113358.73920000001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</row>
    <row r="54" spans="1:42" x14ac:dyDescent="0.2">
      <c r="A54" s="8" t="s">
        <v>152</v>
      </c>
      <c r="B54" s="100"/>
      <c r="C54" s="100"/>
      <c r="D54" s="100"/>
      <c r="E54" s="121">
        <f>SUM(E18:E53)</f>
        <v>87670.094400000031</v>
      </c>
      <c r="F54" s="121">
        <f>SUM(F18:F53)</f>
        <v>-2352</v>
      </c>
      <c r="G54" s="121">
        <f>SUM(G18:G53)</f>
        <v>85318.094400000031</v>
      </c>
      <c r="H54" s="128"/>
      <c r="I54" s="121">
        <f>SUM(I18:I53)</f>
        <v>28040.644800000024</v>
      </c>
      <c r="J54" s="121">
        <f>SUM(J18:J53)</f>
        <v>0</v>
      </c>
      <c r="K54" s="121">
        <f>SUM(K18:K53)</f>
        <v>28040.644800000024</v>
      </c>
      <c r="L54" s="121">
        <f>SUM(L18:L53)</f>
        <v>113358.73920000001</v>
      </c>
      <c r="M54" s="128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</row>
    <row r="55" spans="1:42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</row>
    <row r="56" spans="1:42" x14ac:dyDescent="0.2">
      <c r="A56" s="116" t="s">
        <v>151</v>
      </c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8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</row>
    <row r="57" spans="1:42" ht="30" customHeight="1" x14ac:dyDescent="0.2">
      <c r="A57" s="105" t="s">
        <v>150</v>
      </c>
      <c r="B57" s="106"/>
      <c r="C57" s="106" t="s">
        <v>149</v>
      </c>
      <c r="D57" s="106"/>
      <c r="E57" s="106" t="s">
        <v>148</v>
      </c>
      <c r="F57" s="106" t="s">
        <v>147</v>
      </c>
      <c r="G57" s="106" t="s">
        <v>146</v>
      </c>
      <c r="H57" s="106"/>
      <c r="I57" s="106" t="s">
        <v>145</v>
      </c>
      <c r="J57" s="106"/>
      <c r="K57" s="106"/>
      <c r="L57" s="106" t="s">
        <v>144</v>
      </c>
      <c r="M57" s="119" t="s">
        <v>143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</row>
    <row r="58" spans="1:42" x14ac:dyDescent="0.2">
      <c r="A58" s="109">
        <v>1</v>
      </c>
      <c r="B58" s="110"/>
      <c r="C58" s="109">
        <f>COUNTIFS($C$18:$C$53,A58,$A$18:$A$53,"&lt;="&amp;$B$11)</f>
        <v>12</v>
      </c>
      <c r="D58" s="110"/>
      <c r="E58" s="129">
        <f>SUMIFS($E$18:$E$53,$C$18:$C$53,$A58)</f>
        <v>28224</v>
      </c>
      <c r="F58" s="129">
        <f>SUMIFS($F$18:$F$53,$C$18:$C$53,$A58)</f>
        <v>-2352</v>
      </c>
      <c r="G58" s="129">
        <f>SUMIFS($G$18:$G$53,$C$18:$C$53,$A58)</f>
        <v>25872</v>
      </c>
      <c r="H58" s="130"/>
      <c r="I58" s="129">
        <f>SUMIFS($K$18:$K$53,$C$18:$C$53,$A58)</f>
        <v>9072</v>
      </c>
      <c r="J58" s="130"/>
      <c r="K58" s="130"/>
      <c r="L58" s="129">
        <f>SUMIFS($L$18:$L$53,$C$18:$C$53,$A58)</f>
        <v>34944</v>
      </c>
      <c r="M58" s="129">
        <f>IF(C58=0,0,G58/$B$5/(C58/12))</f>
        <v>12.833333333333334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</row>
    <row r="59" spans="1:42" x14ac:dyDescent="0.2">
      <c r="A59" s="109">
        <v>2</v>
      </c>
      <c r="B59" s="110"/>
      <c r="C59" s="109">
        <f>COUNTIFS($C$18:$C$53,A59,$A$18:$A$53,"&lt;="&amp;$B$11)</f>
        <v>12</v>
      </c>
      <c r="D59" s="110"/>
      <c r="E59" s="129">
        <f>SUMIFS($E$18:$E$53,$C$18:$C$53,$A59)</f>
        <v>29211.839999999997</v>
      </c>
      <c r="F59" s="129">
        <f>SUMIFS($F$18:$F$53,$C$18:$C$53,$A59)</f>
        <v>0</v>
      </c>
      <c r="G59" s="129">
        <f>SUMIFS($G$18:$G$53,$C$18:$C$53,$A59)</f>
        <v>29211.839999999997</v>
      </c>
      <c r="H59" s="130"/>
      <c r="I59" s="129">
        <f>SUMIFS($K$18:$K$53,$C$18:$C$53,$A59)</f>
        <v>9344.1600000000017</v>
      </c>
      <c r="J59" s="130"/>
      <c r="K59" s="130"/>
      <c r="L59" s="129">
        <f>SUMIFS($L$18:$L$53,$C$18:$C$53,$A59)</f>
        <v>38555.999999999993</v>
      </c>
      <c r="M59" s="129">
        <f>IF(C59=0,0,G59/$B$5/(C59/12))</f>
        <v>14.489999999999998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</row>
    <row r="60" spans="1:42" x14ac:dyDescent="0.2">
      <c r="A60" s="109">
        <v>3</v>
      </c>
      <c r="B60" s="110"/>
      <c r="C60" s="109">
        <f>COUNTIFS($C$18:$C$53,A60,$A$18:$A$53,"&lt;="&amp;$B$11)</f>
        <v>12</v>
      </c>
      <c r="D60" s="110"/>
      <c r="E60" s="129">
        <f>SUMIFS($E$18:$E$53,$C$18:$C$53,$A60)</f>
        <v>30234.254399999994</v>
      </c>
      <c r="F60" s="129">
        <f>SUMIFS($F$18:$F$53,$C$18:$C$53,$A60)</f>
        <v>0</v>
      </c>
      <c r="G60" s="129">
        <f>SUMIFS($G$18:$G$53,$C$18:$C$53,$A60)</f>
        <v>30234.254399999994</v>
      </c>
      <c r="H60" s="130"/>
      <c r="I60" s="129">
        <f>SUMIFS($K$18:$K$53,$C$18:$C$53,$A60)</f>
        <v>9624.4848000000002</v>
      </c>
      <c r="J60" s="130"/>
      <c r="K60" s="130"/>
      <c r="L60" s="129">
        <f>SUMIFS($L$18:$L$53,$C$18:$C$53,$A60)</f>
        <v>39858.739200000004</v>
      </c>
      <c r="M60" s="129">
        <f>IF(C60=0,0,G60/$B$5/(C60/12))</f>
        <v>14.997149999999998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</row>
    <row r="61" spans="1:42" x14ac:dyDescent="0.2">
      <c r="A61" s="111" t="s">
        <v>142</v>
      </c>
      <c r="B61" s="110"/>
      <c r="C61" s="112">
        <f>SUM(C58:C60)</f>
        <v>36</v>
      </c>
      <c r="D61" s="110"/>
      <c r="E61" s="131">
        <f>SUM(E58:E60)</f>
        <v>87670.094399999987</v>
      </c>
      <c r="F61" s="131">
        <f>SUM(F58:F60)</f>
        <v>-2352</v>
      </c>
      <c r="G61" s="131">
        <f>SUM(G58:G60)</f>
        <v>85318.094399999987</v>
      </c>
      <c r="H61" s="130"/>
      <c r="I61" s="131">
        <f>SUM(I58:I60)</f>
        <v>28040.644800000002</v>
      </c>
      <c r="J61" s="130"/>
      <c r="K61" s="130"/>
      <c r="L61" s="131">
        <f>SUM(L58:L60)</f>
        <v>113358.73920000001</v>
      </c>
      <c r="M61" s="131">
        <f>IF(C61=0,0,G61/$B$5/(C61/12))</f>
        <v>14.106827777777776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</row>
    <row r="62" spans="1:42" x14ac:dyDescent="0.2"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</row>
    <row r="63" spans="1:42" x14ac:dyDescent="0.2">
      <c r="A63" s="61" t="s">
        <v>141</v>
      </c>
      <c r="B63" s="114"/>
      <c r="C63" s="115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</row>
    <row r="64" spans="1:42" ht="29" x14ac:dyDescent="0.2">
      <c r="A64" s="82" t="s">
        <v>140</v>
      </c>
      <c r="B64" s="132">
        <f>M61</f>
        <v>14.106827777777776</v>
      </c>
      <c r="C64" s="82" t="s">
        <v>139</v>
      </c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</row>
    <row r="65" spans="1:42" ht="29" x14ac:dyDescent="0.2">
      <c r="A65" s="82" t="s">
        <v>138</v>
      </c>
      <c r="B65" s="132">
        <f>-F54</f>
        <v>2352</v>
      </c>
      <c r="C65" s="82" t="s">
        <v>137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</row>
    <row r="66" spans="1:42" ht="29" x14ac:dyDescent="0.2">
      <c r="A66" s="82" t="s">
        <v>136</v>
      </c>
      <c r="B66" s="133">
        <f>IF(E54=0,0,-F54/E54)</f>
        <v>2.6827848379732087E-2</v>
      </c>
      <c r="C66" s="8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</row>
    <row r="67" spans="1:42" x14ac:dyDescent="0.2">
      <c r="A67" s="82" t="s">
        <v>135</v>
      </c>
      <c r="B67" s="113">
        <f>B14</f>
        <v>0</v>
      </c>
      <c r="C67" s="82" t="s">
        <v>134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</row>
    <row r="68" spans="1:42" x14ac:dyDescent="0.2">
      <c r="A68" s="82" t="s">
        <v>133</v>
      </c>
      <c r="B68" s="132">
        <f>-F54-J54+B14</f>
        <v>2352</v>
      </c>
      <c r="C68" s="82" t="s">
        <v>132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</row>
    <row r="69" spans="1:42" ht="29" x14ac:dyDescent="0.2">
      <c r="A69" s="82" t="s">
        <v>131</v>
      </c>
      <c r="B69" s="132">
        <f>L54</f>
        <v>113358.73920000001</v>
      </c>
      <c r="C69" s="8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</row>
    <row r="70" spans="1:42" ht="57" x14ac:dyDescent="0.2">
      <c r="A70" s="82" t="s">
        <v>130</v>
      </c>
      <c r="B70" s="132">
        <f>G58-'[1]PF Client 130K'!C6</f>
        <v>-2352</v>
      </c>
      <c r="C70" s="82" t="s">
        <v>129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</row>
    <row r="71" spans="1:42" ht="29" x14ac:dyDescent="0.2">
      <c r="A71" s="82" t="s">
        <v>128</v>
      </c>
      <c r="B71" s="132">
        <f>L19</f>
        <v>3108</v>
      </c>
      <c r="C71" s="82" t="s">
        <v>127</v>
      </c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</row>
    <row r="72" spans="1:42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</row>
    <row r="73" spans="1:42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</row>
    <row r="74" spans="1:42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</row>
    <row r="75" spans="1:42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</row>
    <row r="76" spans="1:42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</row>
    <row r="77" spans="1:42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</row>
    <row r="78" spans="1:42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</row>
    <row r="79" spans="1:42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</row>
    <row r="80" spans="1:42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</row>
    <row r="81" spans="1:41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</row>
    <row r="82" spans="1:41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</row>
    <row r="83" spans="1:41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</row>
    <row r="84" spans="1:41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</row>
    <row r="85" spans="1:41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</row>
    <row r="86" spans="1:41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</row>
    <row r="87" spans="1:41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</row>
    <row r="88" spans="1:41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</row>
    <row r="89" spans="1:41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</row>
    <row r="90" spans="1:41" x14ac:dyDescent="0.2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</row>
    <row r="91" spans="1:4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</row>
    <row r="92" spans="1:41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</row>
    <row r="93" spans="1:41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</row>
    <row r="98" spans="1:41" x14ac:dyDescent="0.2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</row>
    <row r="99" spans="1:41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</row>
    <row r="100" spans="1:41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</row>
    <row r="101" spans="1:41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</row>
    <row r="102" spans="1:41" x14ac:dyDescent="0.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</row>
    <row r="103" spans="1:41" x14ac:dyDescent="0.2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</row>
    <row r="104" spans="1:41" x14ac:dyDescent="0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</row>
    <row r="105" spans="1:4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</row>
    <row r="106" spans="1:41" x14ac:dyDescent="0.2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</row>
    <row r="107" spans="1:41" x14ac:dyDescent="0.2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</row>
    <row r="108" spans="1:41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</row>
    <row r="109" spans="1:41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x14ac:dyDescent="0.2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x14ac:dyDescent="0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</row>
    <row r="112" spans="1:41" x14ac:dyDescent="0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</row>
    <row r="113" spans="1:41" x14ac:dyDescent="0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</row>
    <row r="114" spans="1:41" x14ac:dyDescent="0.2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</row>
    <row r="115" spans="1:41" x14ac:dyDescent="0.2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</row>
    <row r="116" spans="1:41" x14ac:dyDescent="0.2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</row>
    <row r="117" spans="1:41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</row>
    <row r="118" spans="1:41" x14ac:dyDescent="0.2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</row>
    <row r="119" spans="1:41" x14ac:dyDescent="0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</row>
    <row r="120" spans="1:41" x14ac:dyDescent="0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</row>
    <row r="121" spans="1:41" x14ac:dyDescent="0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</row>
    <row r="122" spans="1:41" x14ac:dyDescent="0.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</row>
    <row r="123" spans="1:41" x14ac:dyDescent="0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</row>
    <row r="124" spans="1:41" x14ac:dyDescent="0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</row>
    <row r="125" spans="1:41" x14ac:dyDescent="0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</row>
    <row r="126" spans="1:41" x14ac:dyDescent="0.2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</row>
    <row r="127" spans="1:41" x14ac:dyDescent="0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x14ac:dyDescent="0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x14ac:dyDescent="0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x14ac:dyDescent="0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</row>
    <row r="132" spans="1:41" x14ac:dyDescent="0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</row>
    <row r="133" spans="1:41" x14ac:dyDescent="0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</row>
    <row r="134" spans="1:41" x14ac:dyDescent="0.2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</row>
    <row r="135" spans="1:41" x14ac:dyDescent="0.2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</row>
    <row r="136" spans="1:41" x14ac:dyDescent="0.2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</row>
    <row r="137" spans="1:41" x14ac:dyDescent="0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</row>
    <row r="138" spans="1:41" x14ac:dyDescent="0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</row>
    <row r="139" spans="1:41" x14ac:dyDescent="0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</row>
    <row r="140" spans="1:41" x14ac:dyDescent="0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</row>
    <row r="141" spans="1:41" x14ac:dyDescent="0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</row>
    <row r="142" spans="1:41" x14ac:dyDescent="0.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</row>
    <row r="143" spans="1:41" x14ac:dyDescent="0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</row>
    <row r="144" spans="1:41" x14ac:dyDescent="0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</row>
    <row r="145" spans="1:41" x14ac:dyDescent="0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</row>
    <row r="146" spans="1:41" x14ac:dyDescent="0.2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</row>
    <row r="147" spans="1:41" x14ac:dyDescent="0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</row>
    <row r="148" spans="1:41" x14ac:dyDescent="0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</row>
    <row r="149" spans="1:41" x14ac:dyDescent="0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</row>
    <row r="150" spans="1:41" x14ac:dyDescent="0.2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</row>
    <row r="151" spans="1:41" x14ac:dyDescent="0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</row>
    <row r="152" spans="1:41" x14ac:dyDescent="0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</row>
    <row r="153" spans="1:41" x14ac:dyDescent="0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</row>
    <row r="154" spans="1:41" x14ac:dyDescent="0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</row>
    <row r="155" spans="1:41" x14ac:dyDescent="0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</row>
    <row r="156" spans="1:41" x14ac:dyDescent="0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</row>
    <row r="157" spans="1:41" x14ac:dyDescent="0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</row>
    <row r="158" spans="1:41" x14ac:dyDescent="0.2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</row>
    <row r="159" spans="1:41" x14ac:dyDescent="0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</row>
    <row r="160" spans="1:41" x14ac:dyDescent="0.2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</row>
    <row r="161" spans="1:41" x14ac:dyDescent="0.2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</row>
    <row r="162" spans="1:41" x14ac:dyDescent="0.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</row>
    <row r="163" spans="1:41" x14ac:dyDescent="0.2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</row>
    <row r="164" spans="1:41" x14ac:dyDescent="0.2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</row>
    <row r="165" spans="1:41" x14ac:dyDescent="0.2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</row>
    <row r="166" spans="1:41" x14ac:dyDescent="0.2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</row>
    <row r="167" spans="1:41" x14ac:dyDescent="0.2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</row>
    <row r="168" spans="1:41" x14ac:dyDescent="0.2"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</row>
    <row r="169" spans="1:41" x14ac:dyDescent="0.2"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</row>
    <row r="170" spans="1:41" x14ac:dyDescent="0.2"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</row>
    <row r="171" spans="1:41" x14ac:dyDescent="0.2">
      <c r="D171" s="26"/>
      <c r="E171" s="26"/>
    </row>
    <row r="172" spans="1:41" x14ac:dyDescent="0.2">
      <c r="D172" s="26"/>
      <c r="E172" s="26"/>
    </row>
    <row r="173" spans="1:41" x14ac:dyDescent="0.2">
      <c r="D173" s="26"/>
      <c r="E173" s="26"/>
    </row>
    <row r="174" spans="1:41" x14ac:dyDescent="0.2">
      <c r="D174" s="26"/>
      <c r="E174" s="26"/>
    </row>
    <row r="175" spans="1:41" x14ac:dyDescent="0.2">
      <c r="D175" s="26"/>
      <c r="E175" s="26"/>
    </row>
    <row r="176" spans="1:41" x14ac:dyDescent="0.2">
      <c r="D176" s="26"/>
      <c r="E176" s="26"/>
    </row>
    <row r="177" spans="4:5" x14ac:dyDescent="0.2">
      <c r="D177" s="26"/>
      <c r="E177" s="26"/>
    </row>
    <row r="178" spans="4:5" x14ac:dyDescent="0.2">
      <c r="D178" s="26"/>
      <c r="E178" s="2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Summary</vt:lpstr>
      <vt:lpstr>PF Client 130K</vt:lpstr>
      <vt:lpstr>PF Alt 70 LTV</vt:lpstr>
      <vt:lpstr>Rent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valahg22@gmail.com</cp:lastModifiedBy>
  <dcterms:created xsi:type="dcterms:W3CDTF">2026-10-16T15:32:42Z</dcterms:created>
  <dcterms:modified xsi:type="dcterms:W3CDTF">2026-10-16T18:49:40Z</dcterms:modified>
</cp:coreProperties>
</file>