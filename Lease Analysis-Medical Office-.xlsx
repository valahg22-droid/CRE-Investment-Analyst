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valeria/Desktop/"/>
    </mc:Choice>
  </mc:AlternateContent>
  <xr:revisionPtr revIDLastSave="0" documentId="8_{AC46E45F-4756-334F-9B9A-CCDE6F610A3C}" xr6:coauthVersionLast="47" xr6:coauthVersionMax="47" xr10:uidLastSave="{00000000-0000-0000-0000-000000000000}"/>
  <bookViews>
    <workbookView xWindow="0" yWindow="740" windowWidth="29400" windowHeight="17160" xr2:uid="{00000000-000D-0000-FFFF-FFFF00000000}"/>
  </bookViews>
  <sheets>
    <sheet name="Assumptions" sheetId="1" r:id="rId1"/>
    <sheet name="Summary" sheetId="2" r:id="rId2"/>
    <sheet name="Sensitivity Analysis" sheetId="3" r:id="rId3"/>
    <sheet name="Schedule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0" i="4" l="1"/>
  <c r="G110" i="4"/>
  <c r="C110" i="4"/>
  <c r="B110" i="4"/>
  <c r="J109" i="4"/>
  <c r="G109" i="4"/>
  <c r="B109" i="4"/>
  <c r="J108" i="4"/>
  <c r="G108" i="4"/>
  <c r="E108" i="4"/>
  <c r="C108" i="4"/>
  <c r="B108" i="4"/>
  <c r="J107" i="4"/>
  <c r="G107" i="4"/>
  <c r="E107" i="4"/>
  <c r="B107" i="4"/>
  <c r="J106" i="4"/>
  <c r="G106" i="4"/>
  <c r="C106" i="4"/>
  <c r="B106" i="4"/>
  <c r="E106" i="4" s="1"/>
  <c r="J105" i="4"/>
  <c r="G105" i="4"/>
  <c r="E105" i="4"/>
  <c r="C105" i="4"/>
  <c r="B105" i="4"/>
  <c r="J104" i="4"/>
  <c r="G104" i="4"/>
  <c r="E104" i="4"/>
  <c r="C104" i="4"/>
  <c r="B104" i="4"/>
  <c r="J103" i="4"/>
  <c r="G103" i="4"/>
  <c r="B103" i="4"/>
  <c r="J102" i="4"/>
  <c r="G102" i="4"/>
  <c r="C102" i="4"/>
  <c r="B102" i="4"/>
  <c r="E102" i="4" s="1"/>
  <c r="J101" i="4"/>
  <c r="G101" i="4"/>
  <c r="C101" i="4"/>
  <c r="B101" i="4"/>
  <c r="J100" i="4"/>
  <c r="G100" i="4"/>
  <c r="E100" i="4"/>
  <c r="C100" i="4"/>
  <c r="B100" i="4"/>
  <c r="J99" i="4"/>
  <c r="G99" i="4"/>
  <c r="B99" i="4"/>
  <c r="J98" i="4"/>
  <c r="G98" i="4"/>
  <c r="C98" i="4"/>
  <c r="B98" i="4"/>
  <c r="E98" i="4" s="1"/>
  <c r="J97" i="4"/>
  <c r="G97" i="4"/>
  <c r="E97" i="4"/>
  <c r="C97" i="4"/>
  <c r="B97" i="4"/>
  <c r="J96" i="4"/>
  <c r="G96" i="4"/>
  <c r="E96" i="4"/>
  <c r="C96" i="4"/>
  <c r="B96" i="4"/>
  <c r="J95" i="4"/>
  <c r="G95" i="4"/>
  <c r="E95" i="4"/>
  <c r="B95" i="4"/>
  <c r="J94" i="4"/>
  <c r="G94" i="4"/>
  <c r="C94" i="4"/>
  <c r="B94" i="4"/>
  <c r="E94" i="4" s="1"/>
  <c r="J93" i="4"/>
  <c r="G93" i="4"/>
  <c r="C93" i="4"/>
  <c r="B93" i="4"/>
  <c r="J92" i="4"/>
  <c r="G92" i="4"/>
  <c r="E92" i="4"/>
  <c r="C92" i="4"/>
  <c r="B92" i="4"/>
  <c r="J91" i="4"/>
  <c r="G91" i="4"/>
  <c r="E91" i="4"/>
  <c r="B91" i="4"/>
  <c r="J90" i="4"/>
  <c r="G90" i="4"/>
  <c r="C90" i="4"/>
  <c r="B90" i="4"/>
  <c r="E90" i="4" s="1"/>
  <c r="J89" i="4"/>
  <c r="G89" i="4"/>
  <c r="E89" i="4"/>
  <c r="C89" i="4"/>
  <c r="B89" i="4"/>
  <c r="J88" i="4"/>
  <c r="G88" i="4"/>
  <c r="E88" i="4"/>
  <c r="C88" i="4"/>
  <c r="B88" i="4"/>
  <c r="J87" i="4"/>
  <c r="G87" i="4"/>
  <c r="E87" i="4"/>
  <c r="B87" i="4"/>
  <c r="J86" i="4"/>
  <c r="G86" i="4"/>
  <c r="C86" i="4"/>
  <c r="B86" i="4"/>
  <c r="E86" i="4" s="1"/>
  <c r="J85" i="4"/>
  <c r="G85" i="4"/>
  <c r="C85" i="4"/>
  <c r="B85" i="4"/>
  <c r="J84" i="4"/>
  <c r="G84" i="4"/>
  <c r="E84" i="4"/>
  <c r="C84" i="4"/>
  <c r="B84" i="4"/>
  <c r="J83" i="4"/>
  <c r="G83" i="4"/>
  <c r="E83" i="4"/>
  <c r="B83" i="4"/>
  <c r="J82" i="4"/>
  <c r="G82" i="4"/>
  <c r="C82" i="4"/>
  <c r="B82" i="4"/>
  <c r="E82" i="4" s="1"/>
  <c r="J81" i="4"/>
  <c r="G81" i="4"/>
  <c r="E81" i="4"/>
  <c r="C81" i="4"/>
  <c r="B81" i="4"/>
  <c r="J80" i="4"/>
  <c r="G80" i="4"/>
  <c r="E80" i="4"/>
  <c r="C80" i="4"/>
  <c r="B80" i="4"/>
  <c r="J79" i="4"/>
  <c r="G79" i="4"/>
  <c r="E79" i="4"/>
  <c r="B79" i="4"/>
  <c r="J78" i="4"/>
  <c r="G78" i="4"/>
  <c r="C78" i="4"/>
  <c r="B78" i="4"/>
  <c r="E78" i="4" s="1"/>
  <c r="J77" i="4"/>
  <c r="G77" i="4"/>
  <c r="C77" i="4"/>
  <c r="B77" i="4"/>
  <c r="J76" i="4"/>
  <c r="G76" i="4"/>
  <c r="E76" i="4"/>
  <c r="C76" i="4"/>
  <c r="B76" i="4"/>
  <c r="J75" i="4"/>
  <c r="G75" i="4"/>
  <c r="E75" i="4"/>
  <c r="B75" i="4"/>
  <c r="J74" i="4"/>
  <c r="G74" i="4"/>
  <c r="C74" i="4"/>
  <c r="B74" i="4"/>
  <c r="E74" i="4" s="1"/>
  <c r="J73" i="4"/>
  <c r="G73" i="4"/>
  <c r="E73" i="4"/>
  <c r="C73" i="4"/>
  <c r="B73" i="4"/>
  <c r="J72" i="4"/>
  <c r="G72" i="4"/>
  <c r="E72" i="4"/>
  <c r="C72" i="4"/>
  <c r="B72" i="4"/>
  <c r="J71" i="4"/>
  <c r="G71" i="4"/>
  <c r="E71" i="4"/>
  <c r="B71" i="4"/>
  <c r="J70" i="4"/>
  <c r="G70" i="4"/>
  <c r="C70" i="4"/>
  <c r="B70" i="4"/>
  <c r="E70" i="4" s="1"/>
  <c r="J69" i="4"/>
  <c r="G69" i="4"/>
  <c r="C69" i="4"/>
  <c r="B69" i="4"/>
  <c r="J68" i="4"/>
  <c r="G68" i="4"/>
  <c r="E68" i="4"/>
  <c r="C68" i="4"/>
  <c r="B68" i="4"/>
  <c r="J67" i="4"/>
  <c r="G67" i="4"/>
  <c r="E67" i="4"/>
  <c r="B67" i="4"/>
  <c r="J66" i="4"/>
  <c r="G66" i="4"/>
  <c r="C66" i="4"/>
  <c r="B66" i="4"/>
  <c r="E66" i="4" s="1"/>
  <c r="J65" i="4"/>
  <c r="G65" i="4"/>
  <c r="E65" i="4"/>
  <c r="C65" i="4"/>
  <c r="B65" i="4"/>
  <c r="J64" i="4"/>
  <c r="G64" i="4"/>
  <c r="E64" i="4"/>
  <c r="C64" i="4"/>
  <c r="B64" i="4"/>
  <c r="J63" i="4"/>
  <c r="G63" i="4"/>
  <c r="E63" i="4"/>
  <c r="B63" i="4"/>
  <c r="J62" i="4"/>
  <c r="G62" i="4"/>
  <c r="C62" i="4"/>
  <c r="B62" i="4"/>
  <c r="E62" i="4" s="1"/>
  <c r="J61" i="4"/>
  <c r="G61" i="4"/>
  <c r="C61" i="4"/>
  <c r="B61" i="4"/>
  <c r="J60" i="4"/>
  <c r="G60" i="4"/>
  <c r="E60" i="4"/>
  <c r="C60" i="4"/>
  <c r="B60" i="4"/>
  <c r="J59" i="4"/>
  <c r="G59" i="4"/>
  <c r="B59" i="4"/>
  <c r="E59" i="4" s="1"/>
  <c r="J58" i="4"/>
  <c r="G58" i="4"/>
  <c r="C58" i="4"/>
  <c r="B58" i="4"/>
  <c r="E58" i="4" s="1"/>
  <c r="J57" i="4"/>
  <c r="G57" i="4"/>
  <c r="E57" i="4"/>
  <c r="C57" i="4"/>
  <c r="B57" i="4"/>
  <c r="J56" i="4"/>
  <c r="G56" i="4"/>
  <c r="E56" i="4"/>
  <c r="B56" i="4"/>
  <c r="C56" i="4" s="1"/>
  <c r="J55" i="4"/>
  <c r="G55" i="4"/>
  <c r="B55" i="4"/>
  <c r="C55" i="4" s="1"/>
  <c r="J54" i="4"/>
  <c r="G54" i="4"/>
  <c r="C54" i="4"/>
  <c r="B54" i="4"/>
  <c r="E54" i="4" s="1"/>
  <c r="J53" i="4"/>
  <c r="G53" i="4"/>
  <c r="E53" i="4"/>
  <c r="C53" i="4"/>
  <c r="B53" i="4"/>
  <c r="J52" i="4"/>
  <c r="G52" i="4"/>
  <c r="B52" i="4"/>
  <c r="C52" i="4" s="1"/>
  <c r="J51" i="4"/>
  <c r="G51" i="4"/>
  <c r="B51" i="4"/>
  <c r="C51" i="4" s="1"/>
  <c r="J50" i="4"/>
  <c r="G50" i="4"/>
  <c r="C50" i="4"/>
  <c r="B50" i="4"/>
  <c r="E50" i="4" s="1"/>
  <c r="J49" i="4"/>
  <c r="G49" i="4"/>
  <c r="E49" i="4"/>
  <c r="C49" i="4"/>
  <c r="B49" i="4"/>
  <c r="J48" i="4"/>
  <c r="G48" i="4"/>
  <c r="E48" i="4"/>
  <c r="B48" i="4"/>
  <c r="C48" i="4" s="1"/>
  <c r="J47" i="4"/>
  <c r="G47" i="4"/>
  <c r="B47" i="4"/>
  <c r="C47" i="4" s="1"/>
  <c r="J46" i="4"/>
  <c r="G46" i="4"/>
  <c r="C46" i="4"/>
  <c r="B46" i="4"/>
  <c r="E46" i="4" s="1"/>
  <c r="J45" i="4"/>
  <c r="G45" i="4"/>
  <c r="E45" i="4"/>
  <c r="C45" i="4"/>
  <c r="B45" i="4"/>
  <c r="J44" i="4"/>
  <c r="G44" i="4"/>
  <c r="B44" i="4"/>
  <c r="C44" i="4" s="1"/>
  <c r="J43" i="4"/>
  <c r="G43" i="4"/>
  <c r="B43" i="4"/>
  <c r="C43" i="4" s="1"/>
  <c r="J42" i="4"/>
  <c r="G42" i="4"/>
  <c r="C42" i="4"/>
  <c r="B42" i="4"/>
  <c r="E42" i="4" s="1"/>
  <c r="J41" i="4"/>
  <c r="G41" i="4"/>
  <c r="E41" i="4"/>
  <c r="C41" i="4"/>
  <c r="B41" i="4"/>
  <c r="J40" i="4"/>
  <c r="G40" i="4"/>
  <c r="E40" i="4"/>
  <c r="B40" i="4"/>
  <c r="C40" i="4" s="1"/>
  <c r="J39" i="4"/>
  <c r="G39" i="4"/>
  <c r="B39" i="4"/>
  <c r="C39" i="4" s="1"/>
  <c r="J38" i="4"/>
  <c r="G38" i="4"/>
  <c r="C38" i="4"/>
  <c r="B38" i="4"/>
  <c r="E38" i="4" s="1"/>
  <c r="J37" i="4"/>
  <c r="G37" i="4"/>
  <c r="E37" i="4"/>
  <c r="C37" i="4"/>
  <c r="B37" i="4"/>
  <c r="J36" i="4"/>
  <c r="G36" i="4"/>
  <c r="B36" i="4"/>
  <c r="C36" i="4" s="1"/>
  <c r="J35" i="4"/>
  <c r="G35" i="4"/>
  <c r="B35" i="4"/>
  <c r="C35" i="4" s="1"/>
  <c r="J34" i="4"/>
  <c r="G34" i="4"/>
  <c r="C34" i="4"/>
  <c r="B34" i="4"/>
  <c r="E34" i="4" s="1"/>
  <c r="J33" i="4"/>
  <c r="G33" i="4"/>
  <c r="E33" i="4"/>
  <c r="C33" i="4"/>
  <c r="B33" i="4"/>
  <c r="J32" i="4"/>
  <c r="G32" i="4"/>
  <c r="E32" i="4"/>
  <c r="B32" i="4"/>
  <c r="C32" i="4" s="1"/>
  <c r="J31" i="4"/>
  <c r="G31" i="4"/>
  <c r="B31" i="4"/>
  <c r="C31" i="4" s="1"/>
  <c r="J30" i="4"/>
  <c r="G30" i="4"/>
  <c r="C30" i="4"/>
  <c r="B30" i="4"/>
  <c r="E30" i="4" s="1"/>
  <c r="J29" i="4"/>
  <c r="G29" i="4"/>
  <c r="E29" i="4"/>
  <c r="C29" i="4"/>
  <c r="B29" i="4"/>
  <c r="J28" i="4"/>
  <c r="G28" i="4"/>
  <c r="B28" i="4"/>
  <c r="C28" i="4" s="1"/>
  <c r="J27" i="4"/>
  <c r="G27" i="4"/>
  <c r="B27" i="4"/>
  <c r="C27" i="4" s="1"/>
  <c r="J26" i="4"/>
  <c r="G26" i="4"/>
  <c r="C26" i="4"/>
  <c r="B26" i="4"/>
  <c r="E26" i="4" s="1"/>
  <c r="J25" i="4"/>
  <c r="G25" i="4"/>
  <c r="E25" i="4"/>
  <c r="C25" i="4"/>
  <c r="B25" i="4"/>
  <c r="J24" i="4"/>
  <c r="G24" i="4"/>
  <c r="E24" i="4"/>
  <c r="C24" i="4"/>
  <c r="B24" i="4"/>
  <c r="J23" i="4"/>
  <c r="G23" i="4"/>
  <c r="E23" i="4"/>
  <c r="C23" i="4"/>
  <c r="B23" i="4"/>
  <c r="J22" i="4"/>
  <c r="G22" i="4"/>
  <c r="E22" i="4"/>
  <c r="C22" i="4"/>
  <c r="B22" i="4"/>
  <c r="J21" i="4"/>
  <c r="G21" i="4"/>
  <c r="E21" i="4"/>
  <c r="C21" i="4"/>
  <c r="B21" i="4"/>
  <c r="J20" i="4"/>
  <c r="G20" i="4"/>
  <c r="E20" i="4"/>
  <c r="C20" i="4"/>
  <c r="B20" i="4"/>
  <c r="J19" i="4"/>
  <c r="G19" i="4"/>
  <c r="E19" i="4"/>
  <c r="C19" i="4"/>
  <c r="B19" i="4"/>
  <c r="J18" i="4"/>
  <c r="G18" i="4"/>
  <c r="E18" i="4"/>
  <c r="C18" i="4"/>
  <c r="B18" i="4"/>
  <c r="J17" i="4"/>
  <c r="G17" i="4"/>
  <c r="E17" i="4"/>
  <c r="C17" i="4"/>
  <c r="B17" i="4"/>
  <c r="J16" i="4"/>
  <c r="G16" i="4"/>
  <c r="E16" i="4"/>
  <c r="C16" i="4"/>
  <c r="B16" i="4"/>
  <c r="J15" i="4"/>
  <c r="G15" i="4"/>
  <c r="E15" i="4"/>
  <c r="C15" i="4"/>
  <c r="B15" i="4"/>
  <c r="J14" i="4"/>
  <c r="G14" i="4"/>
  <c r="E14" i="4"/>
  <c r="C14" i="4"/>
  <c r="B14" i="4"/>
  <c r="J13" i="4"/>
  <c r="G13" i="4"/>
  <c r="E13" i="4"/>
  <c r="C13" i="4"/>
  <c r="B13" i="4"/>
  <c r="J12" i="4"/>
  <c r="G12" i="4"/>
  <c r="E12" i="4"/>
  <c r="C12" i="4"/>
  <c r="B12" i="4"/>
  <c r="J11" i="4"/>
  <c r="G11" i="4"/>
  <c r="E11" i="4"/>
  <c r="C11" i="4"/>
  <c r="B11" i="4"/>
  <c r="J10" i="4"/>
  <c r="G10" i="4"/>
  <c r="E10" i="4"/>
  <c r="C10" i="4"/>
  <c r="B10" i="4"/>
  <c r="J9" i="4"/>
  <c r="G9" i="4"/>
  <c r="E9" i="4"/>
  <c r="C9" i="4"/>
  <c r="B9" i="4"/>
  <c r="J8" i="4"/>
  <c r="G8" i="4"/>
  <c r="E8" i="4"/>
  <c r="C8" i="4"/>
  <c r="B8" i="4"/>
  <c r="J7" i="4"/>
  <c r="G7" i="4"/>
  <c r="E7" i="4"/>
  <c r="C7" i="4"/>
  <c r="B7" i="4"/>
  <c r="J6" i="4"/>
  <c r="G6" i="4"/>
  <c r="E6" i="4"/>
  <c r="C6" i="4"/>
  <c r="B6" i="4"/>
  <c r="J5" i="4"/>
  <c r="G5" i="4"/>
  <c r="E5" i="4"/>
  <c r="C5" i="4"/>
  <c r="B5" i="4"/>
  <c r="J4" i="4"/>
  <c r="G4" i="4"/>
  <c r="E4" i="4"/>
  <c r="C4" i="4"/>
  <c r="B4" i="4"/>
  <c r="A3" i="4"/>
  <c r="J3" i="4" s="1"/>
  <c r="D69" i="3"/>
  <c r="D71" i="3" s="1"/>
  <c r="E67" i="3"/>
  <c r="D67" i="3"/>
  <c r="C67" i="3"/>
  <c r="B67" i="3"/>
  <c r="D66" i="3"/>
  <c r="D68" i="3" s="1"/>
  <c r="C66" i="3"/>
  <c r="C69" i="3" s="1"/>
  <c r="C71" i="3" s="1"/>
  <c r="B65" i="3"/>
  <c r="B64" i="3"/>
  <c r="B63" i="3"/>
  <c r="E62" i="3"/>
  <c r="E66" i="3" s="1"/>
  <c r="B62" i="3"/>
  <c r="B66" i="3" s="1"/>
  <c r="A48" i="3"/>
  <c r="J17" i="3" s="1"/>
  <c r="J15" i="3"/>
  <c r="J16" i="3" s="1"/>
  <c r="A37" i="3" s="1"/>
  <c r="A11" i="3"/>
  <c r="J6" i="3"/>
  <c r="B30" i="2"/>
  <c r="B29" i="2"/>
  <c r="B9" i="2" a="1"/>
  <c r="B9" i="2" s="1"/>
  <c r="B8" i="2" a="1"/>
  <c r="B8" i="2" s="1"/>
  <c r="B7" i="2" a="1"/>
  <c r="B7" i="2" s="1"/>
  <c r="B6" i="2" a="1"/>
  <c r="B6" i="2"/>
  <c r="B28" i="1"/>
  <c r="A24" i="3" l="1"/>
  <c r="F18" i="4"/>
  <c r="D109" i="4"/>
  <c r="D105" i="4"/>
  <c r="F105" i="4" s="1"/>
  <c r="I105" i="4" s="1"/>
  <c r="K105" i="4" s="1"/>
  <c r="D101" i="4"/>
  <c r="D97" i="4"/>
  <c r="F97" i="4" s="1"/>
  <c r="D93" i="4"/>
  <c r="D89" i="4"/>
  <c r="F89" i="4" s="1"/>
  <c r="D85" i="4"/>
  <c r="H85" i="4" s="1"/>
  <c r="D81" i="4"/>
  <c r="F81" i="4" s="1"/>
  <c r="D77" i="4"/>
  <c r="D73" i="4"/>
  <c r="F73" i="4" s="1"/>
  <c r="D69" i="4"/>
  <c r="D65" i="4"/>
  <c r="F65" i="4" s="1"/>
  <c r="D61" i="4"/>
  <c r="D107" i="4"/>
  <c r="F107" i="4" s="1"/>
  <c r="D103" i="4"/>
  <c r="D99" i="4"/>
  <c r="H99" i="4" s="1"/>
  <c r="D95" i="4"/>
  <c r="D91" i="4"/>
  <c r="D87" i="4"/>
  <c r="D83" i="4"/>
  <c r="F83" i="4" s="1"/>
  <c r="D79" i="4"/>
  <c r="D75" i="4"/>
  <c r="D71" i="4"/>
  <c r="F71" i="4" s="1"/>
  <c r="I71" i="4" s="1"/>
  <c r="K71" i="4" s="1"/>
  <c r="D67" i="4"/>
  <c r="F67" i="4" s="1"/>
  <c r="D63" i="4"/>
  <c r="F63" i="4" s="1"/>
  <c r="I63" i="4" s="1"/>
  <c r="K63" i="4" s="1"/>
  <c r="D110" i="4"/>
  <c r="D108" i="4"/>
  <c r="H108" i="4" s="1"/>
  <c r="D94" i="4"/>
  <c r="H94" i="4" s="1"/>
  <c r="D92" i="4"/>
  <c r="H92" i="4" s="1"/>
  <c r="D78" i="4"/>
  <c r="H78" i="4" s="1"/>
  <c r="D76" i="4"/>
  <c r="H76" i="4" s="1"/>
  <c r="D62" i="4"/>
  <c r="H62" i="4" s="1"/>
  <c r="D60" i="4"/>
  <c r="F60" i="4" s="1"/>
  <c r="I60" i="4" s="1"/>
  <c r="K60" i="4" s="1"/>
  <c r="D59" i="4"/>
  <c r="F59" i="4" s="1"/>
  <c r="I59" i="4" s="1"/>
  <c r="K59" i="4" s="1"/>
  <c r="D58" i="4"/>
  <c r="F58" i="4" s="1"/>
  <c r="D51" i="4"/>
  <c r="D50" i="4"/>
  <c r="F50" i="4" s="1"/>
  <c r="D43" i="4"/>
  <c r="D42" i="4"/>
  <c r="F42" i="4" s="1"/>
  <c r="D35" i="4"/>
  <c r="H35" i="4" s="1"/>
  <c r="D34" i="4"/>
  <c r="F34" i="4" s="1"/>
  <c r="D27" i="4"/>
  <c r="D26" i="4"/>
  <c r="F26" i="4" s="1"/>
  <c r="D22" i="4"/>
  <c r="D18" i="4"/>
  <c r="D14" i="4"/>
  <c r="F14" i="4" s="1"/>
  <c r="D10" i="4"/>
  <c r="H10" i="4" s="1"/>
  <c r="D6" i="4"/>
  <c r="F6" i="4" s="1"/>
  <c r="I6" i="4" s="1"/>
  <c r="K6" i="4" s="1"/>
  <c r="D98" i="4"/>
  <c r="H98" i="4" s="1"/>
  <c r="D96" i="4"/>
  <c r="H96" i="4" s="1"/>
  <c r="D82" i="4"/>
  <c r="H82" i="4" s="1"/>
  <c r="D80" i="4"/>
  <c r="H80" i="4" s="1"/>
  <c r="D66" i="4"/>
  <c r="H66" i="4" s="1"/>
  <c r="D64" i="4"/>
  <c r="H64" i="4" s="1"/>
  <c r="D57" i="4"/>
  <c r="H57" i="4" s="1"/>
  <c r="D49" i="4"/>
  <c r="H49" i="4" s="1"/>
  <c r="D41" i="4"/>
  <c r="H41" i="4" s="1"/>
  <c r="D33" i="4"/>
  <c r="H33" i="4" s="1"/>
  <c r="D25" i="4"/>
  <c r="H25" i="4" s="1"/>
  <c r="D21" i="4"/>
  <c r="H21" i="4" s="1"/>
  <c r="D17" i="4"/>
  <c r="H17" i="4" s="1"/>
  <c r="D13" i="4"/>
  <c r="H13" i="4" s="1"/>
  <c r="D9" i="4"/>
  <c r="H9" i="4" s="1"/>
  <c r="D5" i="4"/>
  <c r="H5" i="4" s="1"/>
  <c r="D56" i="4"/>
  <c r="D48" i="4"/>
  <c r="D40" i="4"/>
  <c r="D32" i="4"/>
  <c r="D102" i="4"/>
  <c r="H102" i="4" s="1"/>
  <c r="D100" i="4"/>
  <c r="H100" i="4" s="1"/>
  <c r="D86" i="4"/>
  <c r="H86" i="4" s="1"/>
  <c r="D84" i="4"/>
  <c r="H84" i="4" s="1"/>
  <c r="D70" i="4"/>
  <c r="H70" i="4" s="1"/>
  <c r="D68" i="4"/>
  <c r="H68" i="4" s="1"/>
  <c r="D55" i="4"/>
  <c r="D54" i="4"/>
  <c r="D47" i="4"/>
  <c r="D46" i="4"/>
  <c r="D39" i="4"/>
  <c r="H39" i="4" s="1"/>
  <c r="D38" i="4"/>
  <c r="D31" i="4"/>
  <c r="D30" i="4"/>
  <c r="D24" i="4"/>
  <c r="F24" i="4" s="1"/>
  <c r="D20" i="4"/>
  <c r="F20" i="4" s="1"/>
  <c r="D16" i="4"/>
  <c r="F16" i="4" s="1"/>
  <c r="D12" i="4"/>
  <c r="F12" i="4" s="1"/>
  <c r="D8" i="4"/>
  <c r="F8" i="4" s="1"/>
  <c r="D4" i="4"/>
  <c r="F4" i="4" s="1"/>
  <c r="D106" i="4"/>
  <c r="H106" i="4" s="1"/>
  <c r="D104" i="4"/>
  <c r="H104" i="4" s="1"/>
  <c r="D90" i="4"/>
  <c r="H90" i="4" s="1"/>
  <c r="D88" i="4"/>
  <c r="H88" i="4" s="1"/>
  <c r="D74" i="4"/>
  <c r="H74" i="4" s="1"/>
  <c r="D72" i="4"/>
  <c r="H72" i="4" s="1"/>
  <c r="D53" i="4"/>
  <c r="H53" i="4" s="1"/>
  <c r="D45" i="4"/>
  <c r="H45" i="4" s="1"/>
  <c r="D37" i="4"/>
  <c r="H37" i="4" s="1"/>
  <c r="D29" i="4"/>
  <c r="H29" i="4" s="1"/>
  <c r="D23" i="4"/>
  <c r="H23" i="4" s="1"/>
  <c r="D19" i="4"/>
  <c r="H19" i="4" s="1"/>
  <c r="D15" i="4"/>
  <c r="H15" i="4" s="1"/>
  <c r="D11" i="4"/>
  <c r="H11" i="4" s="1"/>
  <c r="D7" i="4"/>
  <c r="H7" i="4" s="1"/>
  <c r="D52" i="4"/>
  <c r="H52" i="4" s="1"/>
  <c r="D44" i="4"/>
  <c r="H44" i="4" s="1"/>
  <c r="D36" i="4"/>
  <c r="D28" i="4"/>
  <c r="F19" i="4"/>
  <c r="I19" i="4" s="1"/>
  <c r="K19" i="4" s="1"/>
  <c r="F79" i="4"/>
  <c r="I79" i="4" s="1"/>
  <c r="K79" i="4" s="1"/>
  <c r="F10" i="4"/>
  <c r="F45" i="4"/>
  <c r="I45" i="4" s="1"/>
  <c r="K45" i="4" s="1"/>
  <c r="D72" i="3"/>
  <c r="D70" i="3"/>
  <c r="F23" i="4"/>
  <c r="I23" i="4" s="1"/>
  <c r="K23" i="4" s="1"/>
  <c r="H60" i="4"/>
  <c r="H6" i="4"/>
  <c r="H22" i="4"/>
  <c r="F33" i="4"/>
  <c r="I33" i="4" s="1"/>
  <c r="K33" i="4" s="1"/>
  <c r="F91" i="4"/>
  <c r="I91" i="4" s="1"/>
  <c r="K91" i="4" s="1"/>
  <c r="F49" i="4"/>
  <c r="F15" i="4"/>
  <c r="I15" i="4" s="1"/>
  <c r="K15" i="4" s="1"/>
  <c r="B69" i="3"/>
  <c r="B71" i="3" s="1"/>
  <c r="B68" i="3"/>
  <c r="F17" i="4"/>
  <c r="I17" i="4" s="1"/>
  <c r="K17" i="4" s="1"/>
  <c r="F25" i="4"/>
  <c r="I25" i="4" s="1"/>
  <c r="K25" i="4" s="1"/>
  <c r="F95" i="4"/>
  <c r="H18" i="4"/>
  <c r="F13" i="4"/>
  <c r="I13" i="4" s="1"/>
  <c r="K13" i="4" s="1"/>
  <c r="F21" i="4"/>
  <c r="I21" i="4" s="1"/>
  <c r="K21" i="4" s="1"/>
  <c r="H20" i="4"/>
  <c r="F87" i="4"/>
  <c r="I87" i="4" s="1"/>
  <c r="K87" i="4" s="1"/>
  <c r="E68" i="3"/>
  <c r="E69" i="3"/>
  <c r="E71" i="3" s="1"/>
  <c r="H16" i="4"/>
  <c r="F22" i="4"/>
  <c r="I22" i="4" s="1"/>
  <c r="K22" i="4" s="1"/>
  <c r="H24" i="4"/>
  <c r="F75" i="4"/>
  <c r="E27" i="4"/>
  <c r="F27" i="4" s="1"/>
  <c r="I27" i="4" s="1"/>
  <c r="K27" i="4" s="1"/>
  <c r="E35" i="4"/>
  <c r="E43" i="4"/>
  <c r="E51" i="4"/>
  <c r="F51" i="4" s="1"/>
  <c r="F92" i="4"/>
  <c r="I92" i="4" s="1"/>
  <c r="K92" i="4" s="1"/>
  <c r="F108" i="4"/>
  <c r="I108" i="4" s="1"/>
  <c r="K108" i="4" s="1"/>
  <c r="D3" i="4"/>
  <c r="E28" i="4"/>
  <c r="F28" i="4" s="1"/>
  <c r="E36" i="4"/>
  <c r="E44" i="4"/>
  <c r="E52" i="4"/>
  <c r="H69" i="4"/>
  <c r="H71" i="4"/>
  <c r="C71" i="4"/>
  <c r="H87" i="4"/>
  <c r="C87" i="4"/>
  <c r="B12" i="2" s="1" a="1"/>
  <c r="B12" i="2" s="1"/>
  <c r="H101" i="4"/>
  <c r="F102" i="4"/>
  <c r="I102" i="4" s="1"/>
  <c r="K102" i="4" s="1"/>
  <c r="H103" i="4"/>
  <c r="C103" i="4"/>
  <c r="H26" i="4"/>
  <c r="H50" i="4"/>
  <c r="H58" i="4"/>
  <c r="F72" i="4"/>
  <c r="I72" i="4" s="1"/>
  <c r="K72" i="4" s="1"/>
  <c r="F88" i="4"/>
  <c r="I88" i="4" s="1"/>
  <c r="K88" i="4" s="1"/>
  <c r="E103" i="4"/>
  <c r="F103" i="4" s="1"/>
  <c r="I103" i="4" s="1"/>
  <c r="K103" i="4" s="1"/>
  <c r="F104" i="4"/>
  <c r="I104" i="4" s="1"/>
  <c r="K104" i="4" s="1"/>
  <c r="C68" i="3"/>
  <c r="H27" i="4"/>
  <c r="H43" i="4"/>
  <c r="H51" i="4"/>
  <c r="H65" i="4"/>
  <c r="F66" i="4"/>
  <c r="I66" i="4" s="1"/>
  <c r="K66" i="4" s="1"/>
  <c r="C67" i="4"/>
  <c r="E69" i="4"/>
  <c r="F69" i="4" s="1"/>
  <c r="F82" i="4"/>
  <c r="I82" i="4" s="1"/>
  <c r="K82" i="4" s="1"/>
  <c r="H83" i="4"/>
  <c r="C83" i="4"/>
  <c r="E85" i="4"/>
  <c r="F85" i="4" s="1"/>
  <c r="H97" i="4"/>
  <c r="C99" i="4"/>
  <c r="B13" i="2" s="1" a="1"/>
  <c r="B13" i="2" s="1"/>
  <c r="E101" i="4"/>
  <c r="F101" i="4" s="1"/>
  <c r="I101" i="4" s="1"/>
  <c r="K101" i="4" s="1"/>
  <c r="H28" i="4"/>
  <c r="E31" i="4"/>
  <c r="F31" i="4" s="1"/>
  <c r="I31" i="4" s="1"/>
  <c r="K31" i="4" s="1"/>
  <c r="H36" i="4"/>
  <c r="E39" i="4"/>
  <c r="E47" i="4"/>
  <c r="F47" i="4" s="1"/>
  <c r="I47" i="4" s="1"/>
  <c r="K47" i="4" s="1"/>
  <c r="E55" i="4"/>
  <c r="F55" i="4" s="1"/>
  <c r="I55" i="4" s="1"/>
  <c r="K55" i="4" s="1"/>
  <c r="F68" i="4"/>
  <c r="I68" i="4" s="1"/>
  <c r="K68" i="4" s="1"/>
  <c r="F84" i="4"/>
  <c r="I84" i="4" s="1"/>
  <c r="K84" i="4" s="1"/>
  <c r="E99" i="4"/>
  <c r="H110" i="4"/>
  <c r="H61" i="4"/>
  <c r="H63" i="4"/>
  <c r="C63" i="4"/>
  <c r="B10" i="2" s="1" a="1"/>
  <c r="B10" i="2" s="1"/>
  <c r="H77" i="4"/>
  <c r="H79" i="4"/>
  <c r="C79" i="4"/>
  <c r="H93" i="4"/>
  <c r="F94" i="4"/>
  <c r="I94" i="4" s="1"/>
  <c r="K94" i="4" s="1"/>
  <c r="H95" i="4"/>
  <c r="C95" i="4"/>
  <c r="H109" i="4"/>
  <c r="H59" i="4"/>
  <c r="C59" i="4"/>
  <c r="F80" i="4"/>
  <c r="I80" i="4" s="1"/>
  <c r="K80" i="4" s="1"/>
  <c r="F96" i="4"/>
  <c r="I96" i="4" s="1"/>
  <c r="K96" i="4" s="1"/>
  <c r="C109" i="4"/>
  <c r="B3" i="4"/>
  <c r="H31" i="4"/>
  <c r="H47" i="4"/>
  <c r="H55" i="4"/>
  <c r="E61" i="4"/>
  <c r="F61" i="4" s="1"/>
  <c r="I61" i="4" s="1"/>
  <c r="K61" i="4" s="1"/>
  <c r="H73" i="4"/>
  <c r="F74" i="4"/>
  <c r="I74" i="4" s="1"/>
  <c r="K74" i="4" s="1"/>
  <c r="H75" i="4"/>
  <c r="C75" i="4"/>
  <c r="B11" i="2" s="1" a="1"/>
  <c r="B11" i="2" s="1"/>
  <c r="E77" i="4"/>
  <c r="F90" i="4"/>
  <c r="I90" i="4" s="1"/>
  <c r="K90" i="4" s="1"/>
  <c r="H91" i="4"/>
  <c r="C91" i="4"/>
  <c r="E93" i="4"/>
  <c r="F93" i="4" s="1"/>
  <c r="I93" i="4" s="1"/>
  <c r="K93" i="4" s="1"/>
  <c r="H105" i="4"/>
  <c r="F106" i="4"/>
  <c r="I106" i="4" s="1"/>
  <c r="K106" i="4" s="1"/>
  <c r="H107" i="4"/>
  <c r="C107" i="4"/>
  <c r="E109" i="4"/>
  <c r="E110" i="4"/>
  <c r="F110" i="4" s="1"/>
  <c r="I110" i="4" s="1"/>
  <c r="K110" i="4" s="1"/>
  <c r="H3" i="4" l="1"/>
  <c r="D7" i="2"/>
  <c r="E6" i="2"/>
  <c r="D10" i="2"/>
  <c r="E13" i="2"/>
  <c r="D6" i="2"/>
  <c r="C6" i="2"/>
  <c r="F6" i="2" s="1"/>
  <c r="D13" i="2"/>
  <c r="E12" i="2"/>
  <c r="E3" i="4"/>
  <c r="F3" i="4" s="1"/>
  <c r="D12" i="2"/>
  <c r="D11" i="2"/>
  <c r="E10" i="2"/>
  <c r="C3" i="4"/>
  <c r="B5" i="2" s="1" a="1"/>
  <c r="B5" i="2" s="1"/>
  <c r="D9" i="2"/>
  <c r="D8" i="2"/>
  <c r="E7" i="2"/>
  <c r="E8" i="2"/>
  <c r="E72" i="3"/>
  <c r="E70" i="3"/>
  <c r="F37" i="4"/>
  <c r="I37" i="4" s="1"/>
  <c r="K37" i="4" s="1"/>
  <c r="F77" i="4"/>
  <c r="I77" i="4" s="1"/>
  <c r="K77" i="4" s="1"/>
  <c r="F78" i="4"/>
  <c r="I78" i="4" s="1"/>
  <c r="K78" i="4" s="1"/>
  <c r="F99" i="4"/>
  <c r="I99" i="4" s="1"/>
  <c r="K99" i="4" s="1"/>
  <c r="H67" i="4"/>
  <c r="I67" i="4" s="1"/>
  <c r="K67" i="4" s="1"/>
  <c r="I28" i="4"/>
  <c r="K28" i="4" s="1"/>
  <c r="F35" i="4"/>
  <c r="I35" i="4" s="1"/>
  <c r="K35" i="4" s="1"/>
  <c r="H14" i="4"/>
  <c r="I14" i="4" s="1"/>
  <c r="K14" i="4" s="1"/>
  <c r="H30" i="4"/>
  <c r="F30" i="4"/>
  <c r="I30" i="4" s="1"/>
  <c r="K30" i="4" s="1"/>
  <c r="F48" i="4"/>
  <c r="H48" i="4"/>
  <c r="I73" i="4"/>
  <c r="K73" i="4" s="1"/>
  <c r="F56" i="4"/>
  <c r="I56" i="4" s="1"/>
  <c r="K56" i="4" s="1"/>
  <c r="H56" i="4"/>
  <c r="E9" i="2" s="1"/>
  <c r="I18" i="4"/>
  <c r="K18" i="4" s="1"/>
  <c r="F41" i="4"/>
  <c r="I41" i="4" s="1"/>
  <c r="K41" i="4" s="1"/>
  <c r="F57" i="4"/>
  <c r="I57" i="4" s="1"/>
  <c r="K57" i="4" s="1"/>
  <c r="F5" i="4"/>
  <c r="I5" i="4" s="1"/>
  <c r="K5" i="4" s="1"/>
  <c r="I49" i="4"/>
  <c r="K49" i="4" s="1"/>
  <c r="I4" i="4"/>
  <c r="K4" i="4" s="1"/>
  <c r="I95" i="4"/>
  <c r="K95" i="4" s="1"/>
  <c r="H4" i="4"/>
  <c r="E5" i="2" s="1"/>
  <c r="I42" i="4"/>
  <c r="K42" i="4" s="1"/>
  <c r="F62" i="4"/>
  <c r="I62" i="4" s="1"/>
  <c r="K62" i="4" s="1"/>
  <c r="H46" i="4"/>
  <c r="F46" i="4"/>
  <c r="I46" i="4" s="1"/>
  <c r="K46" i="4" s="1"/>
  <c r="F52" i="4"/>
  <c r="I52" i="4" s="1"/>
  <c r="K52" i="4" s="1"/>
  <c r="H12" i="4"/>
  <c r="I16" i="4"/>
  <c r="K16" i="4" s="1"/>
  <c r="I50" i="4"/>
  <c r="K50" i="4" s="1"/>
  <c r="I75" i="4"/>
  <c r="K75" i="4" s="1"/>
  <c r="I8" i="4"/>
  <c r="K8" i="4" s="1"/>
  <c r="F76" i="4"/>
  <c r="I76" i="4" s="1"/>
  <c r="K76" i="4" s="1"/>
  <c r="I89" i="4"/>
  <c r="K89" i="4" s="1"/>
  <c r="F64" i="4"/>
  <c r="I64" i="4" s="1"/>
  <c r="K64" i="4" s="1"/>
  <c r="I69" i="4"/>
  <c r="K69" i="4" s="1"/>
  <c r="H42" i="4"/>
  <c r="F44" i="4"/>
  <c r="I44" i="4" s="1"/>
  <c r="K44" i="4" s="1"/>
  <c r="I51" i="4"/>
  <c r="K51" i="4" s="1"/>
  <c r="F9" i="4"/>
  <c r="I9" i="4" s="1"/>
  <c r="K9" i="4" s="1"/>
  <c r="F29" i="4"/>
  <c r="I29" i="4" s="1"/>
  <c r="K29" i="4" s="1"/>
  <c r="F7" i="4"/>
  <c r="I7" i="4" s="1"/>
  <c r="K7" i="4" s="1"/>
  <c r="F11" i="4"/>
  <c r="I11" i="4" s="1"/>
  <c r="K11" i="4" s="1"/>
  <c r="I20" i="4"/>
  <c r="K20" i="4" s="1"/>
  <c r="H54" i="4"/>
  <c r="F54" i="4"/>
  <c r="I54" i="4" s="1"/>
  <c r="K54" i="4" s="1"/>
  <c r="F32" i="4"/>
  <c r="H32" i="4"/>
  <c r="I83" i="4"/>
  <c r="K83" i="4" s="1"/>
  <c r="I65" i="4"/>
  <c r="K65" i="4" s="1"/>
  <c r="I97" i="4"/>
  <c r="K97" i="4" s="1"/>
  <c r="I85" i="4"/>
  <c r="K85" i="4" s="1"/>
  <c r="I10" i="4"/>
  <c r="K10" i="4" s="1"/>
  <c r="H38" i="4"/>
  <c r="F38" i="4"/>
  <c r="I38" i="4" s="1"/>
  <c r="K38" i="4" s="1"/>
  <c r="F70" i="4"/>
  <c r="I70" i="4" s="1"/>
  <c r="K70" i="4" s="1"/>
  <c r="I12" i="4"/>
  <c r="K12" i="4" s="1"/>
  <c r="I107" i="4"/>
  <c r="K107" i="4" s="1"/>
  <c r="H81" i="4"/>
  <c r="I81" i="4" s="1"/>
  <c r="K81" i="4" s="1"/>
  <c r="F109" i="4"/>
  <c r="I109" i="4" s="1"/>
  <c r="K109" i="4" s="1"/>
  <c r="H89" i="4"/>
  <c r="F100" i="4"/>
  <c r="I100" i="4" s="1"/>
  <c r="K100" i="4" s="1"/>
  <c r="F39" i="4"/>
  <c r="I39" i="4" s="1"/>
  <c r="K39" i="4" s="1"/>
  <c r="F98" i="4"/>
  <c r="I98" i="4" s="1"/>
  <c r="K98" i="4" s="1"/>
  <c r="C72" i="3"/>
  <c r="C70" i="3"/>
  <c r="H34" i="4"/>
  <c r="I34" i="4" s="1"/>
  <c r="K34" i="4" s="1"/>
  <c r="F86" i="4"/>
  <c r="I86" i="4" s="1"/>
  <c r="K86" i="4" s="1"/>
  <c r="F36" i="4"/>
  <c r="I36" i="4" s="1"/>
  <c r="K36" i="4" s="1"/>
  <c r="F43" i="4"/>
  <c r="I43" i="4" s="1"/>
  <c r="K43" i="4" s="1"/>
  <c r="H8" i="4"/>
  <c r="F53" i="4"/>
  <c r="I53" i="4" s="1"/>
  <c r="K53" i="4" s="1"/>
  <c r="B72" i="3"/>
  <c r="B70" i="3"/>
  <c r="I24" i="4"/>
  <c r="K24" i="4" s="1"/>
  <c r="F40" i="4"/>
  <c r="H40" i="4"/>
  <c r="I26" i="4"/>
  <c r="K26" i="4" s="1"/>
  <c r="I58" i="4"/>
  <c r="K58" i="4" s="1"/>
  <c r="I48" i="4" l="1"/>
  <c r="K48" i="4" s="1"/>
  <c r="G3" i="4"/>
  <c r="D5" i="2" s="1"/>
  <c r="D14" i="2" s="1"/>
  <c r="C11" i="2"/>
  <c r="E11" i="2"/>
  <c r="E14" i="2" s="1"/>
  <c r="C8" i="2"/>
  <c r="F8" i="2" s="1"/>
  <c r="H6" i="2"/>
  <c r="G6" i="2"/>
  <c r="C10" i="2"/>
  <c r="F10" i="2" s="1"/>
  <c r="C12" i="2"/>
  <c r="F12" i="2" s="1"/>
  <c r="I32" i="4"/>
  <c r="K32" i="4" s="1"/>
  <c r="C9" i="2"/>
  <c r="F9" i="2" s="1"/>
  <c r="C5" i="2"/>
  <c r="I40" i="4"/>
  <c r="K40" i="4" s="1"/>
  <c r="C13" i="2"/>
  <c r="F13" i="2" s="1"/>
  <c r="C7" i="2"/>
  <c r="F7" i="2" s="1"/>
  <c r="H13" i="2" l="1"/>
  <c r="G13" i="2"/>
  <c r="H8" i="2"/>
  <c r="G8" i="2"/>
  <c r="H9" i="2"/>
  <c r="G9" i="2"/>
  <c r="H12" i="2"/>
  <c r="G12" i="2"/>
  <c r="I3" i="4"/>
  <c r="K3" i="4" s="1"/>
  <c r="B28" i="2" s="1"/>
  <c r="B20" i="2"/>
  <c r="B19" i="2"/>
  <c r="B18" i="2"/>
  <c r="F5" i="2"/>
  <c r="C14" i="2"/>
  <c r="B21" i="2"/>
  <c r="F11" i="2"/>
  <c r="H10" i="2"/>
  <c r="G10" i="2"/>
  <c r="G7" i="2"/>
  <c r="H7" i="2"/>
  <c r="B26" i="2" l="1"/>
  <c r="B32" i="2"/>
  <c r="B33" i="2"/>
  <c r="F14" i="2"/>
  <c r="B31" i="2"/>
  <c r="I5" i="2"/>
  <c r="I6" i="2" s="1"/>
  <c r="I7" i="2" s="1"/>
  <c r="I8" i="2" s="1"/>
  <c r="I9" i="2" s="1"/>
  <c r="I10" i="2" s="1"/>
  <c r="I11" i="2" s="1"/>
  <c r="I12" i="2" s="1"/>
  <c r="I13" i="2" s="1"/>
  <c r="B22" i="2"/>
  <c r="G5" i="2"/>
  <c r="H5" i="2"/>
  <c r="H11" i="2"/>
  <c r="G11" i="2"/>
  <c r="B27" i="2"/>
  <c r="B24" i="2" l="1"/>
  <c r="B25" i="2" s="1"/>
  <c r="B23" i="2"/>
</calcChain>
</file>

<file path=xl/sharedStrings.xml><?xml version="1.0" encoding="utf-8"?>
<sst xmlns="http://schemas.openxmlformats.org/spreadsheetml/2006/main" count="145" uniqueCount="132">
  <si>
    <t>Medical Office Lease Analysis – Tenant Rep POV</t>
  </si>
  <si>
    <t>Clermont, FL 34711 (Four Corners submarket) | 1,500 SF chiropractic suite | Names and address removed | LOI dated 03/27/2026</t>
  </si>
  <si>
    <t>LOI TERMS</t>
  </si>
  <si>
    <t>Source / note</t>
  </si>
  <si>
    <t>Premises (SF)</t>
  </si>
  <si>
    <t>LOI - premises</t>
  </si>
  <si>
    <t>Base rent ($/SF/yr, NNN)</t>
  </si>
  <si>
    <t>LOI</t>
  </si>
  <si>
    <t>Annual base rent escalation</t>
  </si>
  <si>
    <t>LOI - annual escalation</t>
  </si>
  <si>
    <t>NNN charges – maint/tax/ins ($/SF/yr)</t>
  </si>
  <si>
    <t>LOI - maintenance, taxes and insurance included in NNN</t>
  </si>
  <si>
    <t>Initial term (years)</t>
  </si>
  <si>
    <t>Renewal options (#)</t>
  </si>
  <si>
    <t>LOI - two renewal options</t>
  </si>
  <si>
    <t>Renewal option length (years)</t>
  </si>
  <si>
    <t>LOI - each option equals the initial term</t>
  </si>
  <si>
    <t>Free base rent (months)</t>
  </si>
  <si>
    <t>LOI - tenant request, applied at lease start</t>
  </si>
  <si>
    <t>Security deposit (months of total rent)</t>
  </si>
  <si>
    <t>LOI - one month of total rent</t>
  </si>
  <si>
    <t>Due diligence (days)</t>
  </si>
  <si>
    <t>Rent commencement (days after delivery)</t>
  </si>
  <si>
    <t>Corporate guarantee</t>
  </si>
  <si>
    <t>Yes</t>
  </si>
  <si>
    <t>Tenant improvements</t>
  </si>
  <si>
    <t>Neutral paint + door decal/logo</t>
  </si>
  <si>
    <t>LOI - cosmetic only; no TI allowance</t>
  </si>
  <si>
    <t>Tenant broker commission (% of aggregate base rent)</t>
  </si>
  <si>
    <t>LOI - 3% of aggregate base rent paid by Landlord; also due on renewals</t>
  </si>
  <si>
    <t>ANALYST ASSUMPTIONS</t>
  </si>
  <si>
    <t>NNN charge annual growth</t>
  </si>
  <si>
    <t>Assumption - LOI silent; NNN typically inflates about 3%</t>
  </si>
  <si>
    <t>Escalation applies in renewal periods (1=yes)</t>
  </si>
  <si>
    <t>Assumption - set to 0 to hold rent flat in renewals</t>
  </si>
  <si>
    <t>Include renewal options in analysis (1=yes)</t>
  </si>
  <si>
    <t>Toggle - 0 = initial term only, 1 = include both renewal options</t>
  </si>
  <si>
    <t>Discount rate (annual)</t>
  </si>
  <si>
    <t>Assumption - tenant cost of capital</t>
  </si>
  <si>
    <t>Market base rent ($/SF/yr, NNN)</t>
  </si>
  <si>
    <t>Clermont medical office market rent, start of 2026</t>
  </si>
  <si>
    <t>Practice annual revenue ($)</t>
  </si>
  <si>
    <t>Assumption - illustrative practice revenue</t>
  </si>
  <si>
    <t>Months analyzed</t>
  </si>
  <si>
    <t>Calculated: (term + toggle x options x option length) x 12</t>
  </si>
  <si>
    <t>Lease Summary &amp; Metrics</t>
  </si>
  <si>
    <t>ANNUAL CASH FLOW</t>
  </si>
  <si>
    <t>Lease Year</t>
  </si>
  <si>
    <t>Phase</t>
  </si>
  <si>
    <t>Base Rent</t>
  </si>
  <si>
    <t>Free Rent</t>
  </si>
  <si>
    <t>NNN Charges</t>
  </si>
  <si>
    <t>Total Cost</t>
  </si>
  <si>
    <t>Total $/SF</t>
  </si>
  <si>
    <t>Monthly Avg</t>
  </si>
  <si>
    <t>Cumulative</t>
  </si>
  <si>
    <t>Total</t>
  </si>
  <si>
    <t>Years beyond the analysis period show zero. Set 'Include renewal options' to 1 on the Assumptions tab to add the two renewal options.</t>
  </si>
  <si>
    <t>KEY METRICS</t>
  </si>
  <si>
    <t>Year-1 base rent (before free rent)</t>
  </si>
  <si>
    <t>Year-1 total rent (LOI: $57,375 – check)</t>
  </si>
  <si>
    <t>Year-1 monthly rate (LOI: $4,781.25 – check)</t>
  </si>
  <si>
    <t>Security deposit</t>
  </si>
  <si>
    <t>Initial-term total cost (net of free rent)</t>
  </si>
  <si>
    <t>Total cost over analysis period</t>
  </si>
  <si>
    <t>Average annual cost over period</t>
  </si>
  <si>
    <t>Gross effective rent $/SF/yr (all-in, net of free)</t>
  </si>
  <si>
    <t>Net effective base rent $/SF/yr (excl. NNN, net of free)</t>
  </si>
  <si>
    <t>Free rent value as % of base rent</t>
  </si>
  <si>
    <t>NPV of occupancy cost @ discount rate</t>
  </si>
  <si>
    <t>Base rent vs. market (Yr 1, %)</t>
  </si>
  <si>
    <t>Year-1 savings vs. market base rent ($)</t>
  </si>
  <si>
    <t>Occupancy cost % of practice revenue (Yr 1)</t>
  </si>
  <si>
    <t>Landlord commission (aggregate base rent × %)</t>
  </si>
  <si>
    <t>Revenue needed for 10% occupancy ratio (Yr 1)</t>
  </si>
  <si>
    <t>Notes</t>
  </si>
  <si>
    <t>The Year-1 free month appears as a negative in the Free Rent column.</t>
  </si>
  <si>
    <t>Cell B19 ties to the LOI total rent ($57,375) before free rent; the model reconciles to the LOI.</t>
  </si>
  <si>
    <t>Sensitivity &amp; Scenario Analysis (Initial Term)</t>
  </si>
  <si>
    <t>Tables 1-4 are Excel Data Tables driven by the cells in I4:J17; keep those equal to the Assumptions base case. Table 5 uses direct formulas. The base case is outlined in each table.</t>
  </si>
  <si>
    <t>DATA TABLE DRIVERS (keep equal to Assumptions)</t>
  </si>
  <si>
    <t>Rent step ($/SF)</t>
  </si>
  <si>
    <t>Base rent ($/SF/yr)</t>
  </si>
  <si>
    <t>Table input</t>
  </si>
  <si>
    <t>Escalation step</t>
  </si>
  <si>
    <t>Escalation</t>
  </si>
  <si>
    <t>Revenue step ($)</t>
  </si>
  <si>
    <t>Net effective rent ($/SF/yr)</t>
  </si>
  <si>
    <t>Table 1 output</t>
  </si>
  <si>
    <t>1) Net effective base rent ($/SF/yr) – Base rent vs. annual escalation</t>
  </si>
  <si>
    <t>Net of free rent, excluding NNN.</t>
  </si>
  <si>
    <t>Free rent (months)</t>
  </si>
  <si>
    <t>Lease term (years)</t>
  </si>
  <si>
    <t>Practice revenue ($)</t>
  </si>
  <si>
    <t>Total initial-term occupancy cost ($)</t>
  </si>
  <si>
    <t>Table 2 output</t>
  </si>
  <si>
    <t>Gross effective rent ($/SF/yr)</t>
  </si>
  <si>
    <t>Table 3 output</t>
  </si>
  <si>
    <t>Year-1 occupancy cost (% of revenue)</t>
  </si>
  <si>
    <t>Table 4 output</t>
  </si>
  <si>
    <t>2) Total initial-term occupancy cost ($) – Base rent vs. free-rent months</t>
  </si>
  <si>
    <t>Base rent net of free months plus NNN over the initial term.</t>
  </si>
  <si>
    <t>3) Gross effective rent ($/SF/yr, base + NNN) – Free-rent months vs. lease term</t>
  </si>
  <si>
    <t>Shows how a free month is worth more on a shorter term.</t>
  </si>
  <si>
    <t>4) Year-1 occupancy cost as % of practice revenue – Base rent vs. revenue</t>
  </si>
  <si>
    <t>Year-1 base + NNN before free rent ÷ revenue. Medical/chiro benchmark roughly 8–12%.</t>
  </si>
  <si>
    <t>5) Negotiation scenarios</t>
  </si>
  <si>
    <t>Blue/yellow cells are scenario inputs; outputs are formulas. Term and growth rates from Assumptions.</t>
  </si>
  <si>
    <t>Scenario</t>
  </si>
  <si>
    <t>LOI as negotiated</t>
  </si>
  <si>
    <t>Landlord counter</t>
  </si>
  <si>
    <t>Tenant best case</t>
  </si>
  <si>
    <t>Market, no concessions</t>
  </si>
  <si>
    <t>NNN ($/SF/yr)</t>
  </si>
  <si>
    <t>Total base rent, net of free ($)</t>
  </si>
  <si>
    <t>Total NNN ($)</t>
  </si>
  <si>
    <t>Total occupancy cost ($)</t>
  </si>
  <si>
    <t>Net effective base rent ($/SF/yr)</t>
  </si>
  <si>
    <t>Net effective vs. market (%)</t>
  </si>
  <si>
    <t>Cost vs. LOI scenario ($)</t>
  </si>
  <si>
    <t>Monthly Rent Schedule (Initial Term and Renewal Options)</t>
  </si>
  <si>
    <t>Month</t>
  </si>
  <si>
    <t>Lease Yr</t>
  </si>
  <si>
    <t>In Analysis</t>
  </si>
  <si>
    <t>Base Rent ($/SF/yr)</t>
  </si>
  <si>
    <t>Base Rent ($)</t>
  </si>
  <si>
    <t>Free Rent ($)</t>
  </si>
  <si>
    <t>NNN Charges ($)</t>
  </si>
  <si>
    <t>Total Occupancy Cost ($)</t>
  </si>
  <si>
    <t>Discount Factor</t>
  </si>
  <si>
    <t>PV ($)</t>
  </si>
  <si>
    <t>Legend: blue = input (LOI term); blue on yellow = assumption not in the LOI; black = formula.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</si>
</sst>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0.0%"/>
    <numFmt numFmtId="165" formatCode="\$#,##0;\(\$#,##0\);\-"/>
    <numFmt numFmtId="166" formatCode="\$#,##0.00;\(\$#,##0.00\);\-"/>
    <numFmt numFmtId="167" formatCode="0&quot; mo&quot;"/>
    <numFmt numFmtId="168" formatCode="0&quot; yrs&quot;"/>
    <numFmt numFmtId="169" formatCode="0.0000"/>
    <numFmt numFmtId="170" formatCode="0.0"/>
    <numFmt numFmtId="171" formatCode=";;;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i/>
      <sz val="9"/>
      <name val="Arial"/>
      <family val="2"/>
    </font>
    <font>
      <b/>
      <sz val="11"/>
      <color rgb="FF000000"/>
      <name val="Arial"/>
      <family val="2"/>
    </font>
    <font>
      <b/>
      <sz val="11"/>
      <color rgb="FF0000FF"/>
      <name val="Arial"/>
      <family val="2"/>
    </font>
    <font>
      <sz val="11"/>
      <color rgb="FF000000"/>
      <name val="Arial"/>
      <family val="2"/>
    </font>
    <font>
      <sz val="12"/>
      <color rgb="FF0000FF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1"/>
    </font>
    <font>
      <b/>
      <sz val="14"/>
      <name val="Arial"/>
      <family val="2"/>
    </font>
    <font>
      <i/>
      <sz val="9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D9E1F2"/>
        <bgColor indexed="64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165" fontId="4" fillId="0" borderId="0" xfId="0" applyNumberFormat="1" applyFont="1"/>
    <xf numFmtId="166" fontId="4" fillId="0" borderId="0" xfId="0" applyNumberFormat="1" applyFont="1"/>
    <xf numFmtId="0" fontId="8" fillId="0" borderId="0" xfId="0" applyFont="1"/>
    <xf numFmtId="1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/>
    <xf numFmtId="166" fontId="4" fillId="0" borderId="1" xfId="0" applyNumberFormat="1" applyFont="1" applyBorder="1"/>
    <xf numFmtId="0" fontId="6" fillId="0" borderId="1" xfId="0" applyFont="1" applyBorder="1"/>
    <xf numFmtId="165" fontId="6" fillId="0" borderId="1" xfId="0" applyNumberFormat="1" applyFont="1" applyBorder="1"/>
    <xf numFmtId="0" fontId="4" fillId="0" borderId="1" xfId="0" applyFont="1" applyBorder="1" applyAlignment="1">
      <alignment wrapText="1"/>
    </xf>
    <xf numFmtId="164" fontId="4" fillId="0" borderId="1" xfId="0" applyNumberFormat="1" applyFont="1" applyBorder="1"/>
    <xf numFmtId="49" fontId="9" fillId="3" borderId="0" xfId="0" applyNumberFormat="1" applyFont="1" applyFill="1" applyAlignment="1">
      <alignment horizontal="center"/>
    </xf>
    <xf numFmtId="49" fontId="9" fillId="3" borderId="0" xfId="0" applyNumberFormat="1" applyFont="1" applyFill="1" applyAlignment="1">
      <alignment horizontal="center" wrapText="1"/>
    </xf>
    <xf numFmtId="0" fontId="0" fillId="0" borderId="0" xfId="0" applyAlignment="1">
      <alignment horizontal="center"/>
    </xf>
    <xf numFmtId="0" fontId="4" fillId="0" borderId="1" xfId="0" applyFont="1" applyBorder="1"/>
    <xf numFmtId="165" fontId="5" fillId="2" borderId="1" xfId="0" applyNumberFormat="1" applyFont="1" applyFill="1" applyBorder="1"/>
    <xf numFmtId="0" fontId="4" fillId="0" borderId="1" xfId="0" applyFont="1" applyBorder="1" applyAlignment="1">
      <alignment horizontal="center"/>
    </xf>
    <xf numFmtId="169" fontId="4" fillId="0" borderId="1" xfId="0" applyNumberFormat="1" applyFont="1" applyBorder="1"/>
    <xf numFmtId="49" fontId="9" fillId="0" borderId="0" xfId="0" applyNumberFormat="1" applyFont="1" applyAlignment="1">
      <alignment horizontal="center"/>
    </xf>
    <xf numFmtId="10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166" fontId="5" fillId="2" borderId="1" xfId="0" applyNumberFormat="1" applyFont="1" applyFill="1" applyBorder="1"/>
    <xf numFmtId="10" fontId="5" fillId="2" borderId="1" xfId="0" applyNumberFormat="1" applyFont="1" applyFill="1" applyBorder="1"/>
    <xf numFmtId="3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70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13" fillId="0" borderId="0" xfId="0" applyFont="1"/>
    <xf numFmtId="0" fontId="17" fillId="0" borderId="0" xfId="0" applyFont="1"/>
    <xf numFmtId="0" fontId="7" fillId="5" borderId="0" xfId="0" applyFont="1" applyFill="1"/>
    <xf numFmtId="0" fontId="13" fillId="5" borderId="0" xfId="0" applyFont="1" applyFill="1"/>
    <xf numFmtId="0" fontId="13" fillId="5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2" fillId="5" borderId="0" xfId="0" applyFont="1" applyFill="1"/>
    <xf numFmtId="0" fontId="6" fillId="5" borderId="1" xfId="0" applyFont="1" applyFill="1" applyBorder="1"/>
    <xf numFmtId="0" fontId="7" fillId="5" borderId="2" xfId="0" applyFont="1" applyFill="1" applyBorder="1" applyAlignment="1">
      <alignment horizontal="center" wrapText="1"/>
    </xf>
    <xf numFmtId="1" fontId="4" fillId="0" borderId="2" xfId="0" applyNumberFormat="1" applyFont="1" applyBorder="1" applyAlignment="1">
      <alignment horizontal="center"/>
    </xf>
    <xf numFmtId="165" fontId="4" fillId="0" borderId="2" xfId="0" applyNumberFormat="1" applyFont="1" applyBorder="1"/>
    <xf numFmtId="166" fontId="4" fillId="0" borderId="2" xfId="0" applyNumberFormat="1" applyFont="1" applyBorder="1"/>
    <xf numFmtId="0" fontId="18" fillId="0" borderId="2" xfId="0" applyFont="1" applyBorder="1"/>
    <xf numFmtId="165" fontId="18" fillId="0" borderId="2" xfId="0" applyNumberFormat="1" applyFont="1" applyBorder="1"/>
    <xf numFmtId="166" fontId="4" fillId="0" borderId="1" xfId="1" applyNumberFormat="1" applyFont="1" applyBorder="1"/>
    <xf numFmtId="166" fontId="13" fillId="0" borderId="1" xfId="1" applyNumberFormat="1" applyFont="1" applyBorder="1"/>
    <xf numFmtId="165" fontId="4" fillId="0" borderId="1" xfId="1" applyNumberFormat="1" applyFont="1" applyBorder="1"/>
    <xf numFmtId="164" fontId="13" fillId="0" borderId="1" xfId="2" applyNumberFormat="1" applyFont="1" applyBorder="1"/>
    <xf numFmtId="0" fontId="18" fillId="0" borderId="0" xfId="0" applyFont="1"/>
    <xf numFmtId="166" fontId="12" fillId="0" borderId="0" xfId="0" applyNumberFormat="1" applyFont="1"/>
    <xf numFmtId="164" fontId="12" fillId="0" borderId="0" xfId="0" applyNumberFormat="1" applyFont="1"/>
    <xf numFmtId="166" fontId="13" fillId="0" borderId="0" xfId="0" applyNumberFormat="1" applyFont="1"/>
    <xf numFmtId="1" fontId="12" fillId="0" borderId="0" xfId="0" applyNumberFormat="1" applyFont="1"/>
    <xf numFmtId="165" fontId="12" fillId="0" borderId="0" xfId="0" applyNumberFormat="1" applyFont="1"/>
    <xf numFmtId="164" fontId="4" fillId="0" borderId="0" xfId="2" applyNumberFormat="1" applyFont="1"/>
    <xf numFmtId="3" fontId="13" fillId="0" borderId="0" xfId="0" applyNumberFormat="1" applyFont="1"/>
    <xf numFmtId="0" fontId="15" fillId="0" borderId="0" xfId="0" applyFont="1" applyAlignment="1">
      <alignment horizontal="left"/>
    </xf>
    <xf numFmtId="0" fontId="7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44" fontId="13" fillId="0" borderId="1" xfId="1" applyFont="1" applyBorder="1"/>
    <xf numFmtId="0" fontId="13" fillId="0" borderId="0" xfId="0" applyFont="1" applyFill="1"/>
    <xf numFmtId="166" fontId="11" fillId="0" borderId="1" xfId="0" applyNumberFormat="1" applyFont="1" applyBorder="1"/>
    <xf numFmtId="164" fontId="5" fillId="2" borderId="1" xfId="0" applyNumberFormat="1" applyFont="1" applyFill="1" applyBorder="1"/>
    <xf numFmtId="1" fontId="11" fillId="0" borderId="1" xfId="0" applyNumberFormat="1" applyFont="1" applyBorder="1"/>
    <xf numFmtId="1" fontId="5" fillId="2" borderId="1" xfId="0" applyNumberFormat="1" applyFont="1" applyFill="1" applyBorder="1"/>
    <xf numFmtId="166" fontId="6" fillId="0" borderId="1" xfId="0" applyNumberFormat="1" applyFont="1" applyBorder="1"/>
    <xf numFmtId="171" fontId="9" fillId="3" borderId="1" xfId="0" applyNumberFormat="1" applyFont="1" applyFill="1" applyBorder="1" applyAlignment="1">
      <alignment horizontal="center"/>
    </xf>
    <xf numFmtId="165" fontId="14" fillId="4" borderId="1" xfId="1" applyNumberFormat="1" applyFont="1" applyFill="1" applyBorder="1"/>
    <xf numFmtId="44" fontId="9" fillId="4" borderId="1" xfId="1" applyFont="1" applyFill="1" applyBorder="1" applyAlignment="1">
      <alignment horizontal="center"/>
    </xf>
    <xf numFmtId="44" fontId="9" fillId="3" borderId="1" xfId="1" applyFont="1" applyFill="1" applyBorder="1" applyAlignment="1">
      <alignment horizontal="center"/>
    </xf>
    <xf numFmtId="164" fontId="6" fillId="0" borderId="1" xfId="0" applyNumberFormat="1" applyFont="1" applyBorder="1"/>
    <xf numFmtId="168" fontId="10" fillId="3" borderId="1" xfId="0" applyNumberFormat="1" applyFont="1" applyFill="1" applyBorder="1" applyAlignment="1">
      <alignment horizontal="center"/>
    </xf>
    <xf numFmtId="167" fontId="10" fillId="3" borderId="1" xfId="0" applyNumberFormat="1" applyFont="1" applyFill="1" applyBorder="1" applyAlignment="1">
      <alignment horizontal="center"/>
    </xf>
    <xf numFmtId="164" fontId="9" fillId="3" borderId="1" xfId="2" applyNumberFormat="1" applyFont="1" applyFill="1" applyBorder="1" applyAlignment="1">
      <alignment horizontal="center"/>
    </xf>
    <xf numFmtId="44" fontId="9" fillId="3" borderId="1" xfId="1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Annual Occupancy Cost - Initial Term ($)</a:t>
            </a:r>
          </a:p>
        </c:rich>
      </c:tx>
      <c:layout>
        <c:manualLayout>
          <c:xMode val="edge"/>
          <c:yMode val="edge"/>
          <c:x val="0.36218746629274079"/>
          <c:y val="4.1666666666666664E-2"/>
        </c:manualLayout>
      </c:layout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Summary!$C$4</c:f>
              <c:strCache>
                <c:ptCount val="1"/>
                <c:pt idx="0">
                  <c:v>Base Rent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Summary!$A$5:$A$7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Summary!$C$5:$C$7</c:f>
              <c:numCache>
                <c:formatCode>\$#,##0;\(\$#,##0\);\-</c:formatCode>
                <c:ptCount val="3"/>
                <c:pt idx="0">
                  <c:v>48000</c:v>
                </c:pt>
                <c:pt idx="1">
                  <c:v>49440</c:v>
                </c:pt>
                <c:pt idx="2">
                  <c:v>50923.19999999999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9-6446-8D94-8144A596792F}"/>
            </c:ext>
          </c:extLst>
        </c:ser>
        <c:ser>
          <c:idx val="1"/>
          <c:order val="1"/>
          <c:tx>
            <c:strRef>
              <c:f>Summary!$E$4</c:f>
              <c:strCache>
                <c:ptCount val="1"/>
                <c:pt idx="0">
                  <c:v>NNN Charges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Summary!$A$5:$A$7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Summary!$E$5:$E$7</c:f>
              <c:numCache>
                <c:formatCode>\$#,##0;\(\$#,##0\);\-</c:formatCode>
                <c:ptCount val="3"/>
                <c:pt idx="0">
                  <c:v>9375</c:v>
                </c:pt>
                <c:pt idx="1">
                  <c:v>9656.25</c:v>
                </c:pt>
                <c:pt idx="2">
                  <c:v>9945.9374999999982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E9-6446-8D94-8144A59679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Lease 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($)</a:t>
                </a:r>
              </a:p>
            </c:rich>
          </c:tx>
          <c:layout>
            <c:manualLayout>
              <c:xMode val="edge"/>
              <c:yMode val="edge"/>
              <c:x val="1.3698630136986301E-2"/>
              <c:y val="0.80798425196850399"/>
            </c:manualLayout>
          </c:layout>
          <c:overlay val="1"/>
        </c:title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21665677920397"/>
          <c:y val="4.1321194225721787E-2"/>
          <c:w val="0.14612110344083701"/>
          <c:h val="0.1340242782152230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16</xdr:row>
      <xdr:rowOff>0</xdr:rowOff>
    </xdr:from>
    <xdr:ext cx="7416800" cy="3048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C28"/>
  <sheetViews>
    <sheetView showGridLines="0" tabSelected="1" workbookViewId="0">
      <selection activeCell="C3" sqref="C3"/>
    </sheetView>
  </sheetViews>
  <sheetFormatPr baseColWidth="10" defaultRowHeight="16" x14ac:dyDescent="0.2"/>
  <cols>
    <col min="1" max="1" width="45" customWidth="1"/>
    <col min="2" max="2" width="25.1640625" customWidth="1"/>
    <col min="3" max="3" width="57.6640625" customWidth="1"/>
  </cols>
  <sheetData>
    <row r="1" spans="1:3" ht="18" customHeight="1" x14ac:dyDescent="0.2">
      <c r="A1" s="36" t="s">
        <v>0</v>
      </c>
      <c r="B1" s="37"/>
      <c r="C1" s="37"/>
    </row>
    <row r="2" spans="1:3" x14ac:dyDescent="0.2">
      <c r="A2" s="38" t="s">
        <v>1</v>
      </c>
      <c r="B2" s="37"/>
      <c r="C2" s="37"/>
    </row>
    <row r="3" spans="1:3" x14ac:dyDescent="0.2">
      <c r="A3" s="6" t="s">
        <v>131</v>
      </c>
      <c r="B3" s="37"/>
      <c r="C3" s="37"/>
    </row>
    <row r="4" spans="1:3" ht="17" customHeight="1" x14ac:dyDescent="0.2">
      <c r="A4" s="39" t="s">
        <v>2</v>
      </c>
      <c r="B4" s="40"/>
      <c r="C4" s="40" t="s">
        <v>3</v>
      </c>
    </row>
    <row r="5" spans="1:3" x14ac:dyDescent="0.2">
      <c r="A5" s="17" t="s">
        <v>4</v>
      </c>
      <c r="B5" s="26">
        <v>1500</v>
      </c>
      <c r="C5" s="37" t="s">
        <v>5</v>
      </c>
    </row>
    <row r="6" spans="1:3" x14ac:dyDescent="0.2">
      <c r="A6" s="17" t="s">
        <v>6</v>
      </c>
      <c r="B6" s="27">
        <v>32</v>
      </c>
      <c r="C6" s="37" t="s">
        <v>7</v>
      </c>
    </row>
    <row r="7" spans="1:3" x14ac:dyDescent="0.2">
      <c r="A7" s="17" t="s">
        <v>8</v>
      </c>
      <c r="B7" s="28">
        <v>0.03</v>
      </c>
      <c r="C7" s="37" t="s">
        <v>9</v>
      </c>
    </row>
    <row r="8" spans="1:3" x14ac:dyDescent="0.2">
      <c r="A8" s="17" t="s">
        <v>10</v>
      </c>
      <c r="B8" s="27">
        <v>6.25</v>
      </c>
      <c r="C8" s="37" t="s">
        <v>11</v>
      </c>
    </row>
    <row r="9" spans="1:3" x14ac:dyDescent="0.2">
      <c r="A9" s="17" t="s">
        <v>12</v>
      </c>
      <c r="B9" s="29">
        <v>3</v>
      </c>
      <c r="C9" s="37" t="s">
        <v>7</v>
      </c>
    </row>
    <row r="10" spans="1:3" x14ac:dyDescent="0.2">
      <c r="A10" s="17" t="s">
        <v>13</v>
      </c>
      <c r="B10" s="29">
        <v>2</v>
      </c>
      <c r="C10" s="37" t="s">
        <v>14</v>
      </c>
    </row>
    <row r="11" spans="1:3" x14ac:dyDescent="0.2">
      <c r="A11" s="17" t="s">
        <v>15</v>
      </c>
      <c r="B11" s="29">
        <v>3</v>
      </c>
      <c r="C11" s="37" t="s">
        <v>16</v>
      </c>
    </row>
    <row r="12" spans="1:3" x14ac:dyDescent="0.2">
      <c r="A12" s="17" t="s">
        <v>17</v>
      </c>
      <c r="B12" s="29">
        <v>1</v>
      </c>
      <c r="C12" s="37" t="s">
        <v>18</v>
      </c>
    </row>
    <row r="13" spans="1:3" x14ac:dyDescent="0.2">
      <c r="A13" s="17" t="s">
        <v>19</v>
      </c>
      <c r="B13" s="30">
        <v>1</v>
      </c>
      <c r="C13" s="37" t="s">
        <v>20</v>
      </c>
    </row>
    <row r="14" spans="1:3" x14ac:dyDescent="0.2">
      <c r="A14" s="17" t="s">
        <v>21</v>
      </c>
      <c r="B14" s="29">
        <v>30</v>
      </c>
      <c r="C14" s="37" t="s">
        <v>7</v>
      </c>
    </row>
    <row r="15" spans="1:3" x14ac:dyDescent="0.2">
      <c r="A15" s="17" t="s">
        <v>22</v>
      </c>
      <c r="B15" s="29">
        <v>30</v>
      </c>
      <c r="C15" s="37" t="s">
        <v>7</v>
      </c>
    </row>
    <row r="16" spans="1:3" x14ac:dyDescent="0.2">
      <c r="A16" s="17" t="s">
        <v>23</v>
      </c>
      <c r="B16" s="31" t="s">
        <v>24</v>
      </c>
      <c r="C16" s="37" t="s">
        <v>7</v>
      </c>
    </row>
    <row r="17" spans="1:3" x14ac:dyDescent="0.2">
      <c r="A17" s="17" t="s">
        <v>25</v>
      </c>
      <c r="B17" s="31" t="s">
        <v>26</v>
      </c>
      <c r="C17" s="37" t="s">
        <v>27</v>
      </c>
    </row>
    <row r="18" spans="1:3" x14ac:dyDescent="0.2">
      <c r="A18" s="17" t="s">
        <v>28</v>
      </c>
      <c r="B18" s="28">
        <v>0.03</v>
      </c>
      <c r="C18" s="37" t="s">
        <v>29</v>
      </c>
    </row>
    <row r="19" spans="1:3" x14ac:dyDescent="0.2">
      <c r="A19" s="39" t="s">
        <v>30</v>
      </c>
      <c r="B19" s="41"/>
      <c r="C19" s="40"/>
    </row>
    <row r="20" spans="1:3" x14ac:dyDescent="0.2">
      <c r="A20" s="17" t="s">
        <v>31</v>
      </c>
      <c r="B20" s="32">
        <v>0.03</v>
      </c>
      <c r="C20" s="37" t="s">
        <v>32</v>
      </c>
    </row>
    <row r="21" spans="1:3" x14ac:dyDescent="0.2">
      <c r="A21" s="17" t="s">
        <v>33</v>
      </c>
      <c r="B21" s="33">
        <v>1</v>
      </c>
      <c r="C21" s="37" t="s">
        <v>34</v>
      </c>
    </row>
    <row r="22" spans="1:3" x14ac:dyDescent="0.2">
      <c r="A22" s="17" t="s">
        <v>35</v>
      </c>
      <c r="B22" s="33">
        <v>0</v>
      </c>
      <c r="C22" s="37" t="s">
        <v>36</v>
      </c>
    </row>
    <row r="23" spans="1:3" x14ac:dyDescent="0.2">
      <c r="A23" s="17" t="s">
        <v>37</v>
      </c>
      <c r="B23" s="32">
        <v>0.08</v>
      </c>
      <c r="C23" s="37" t="s">
        <v>38</v>
      </c>
    </row>
    <row r="24" spans="1:3" x14ac:dyDescent="0.2">
      <c r="A24" s="17" t="s">
        <v>39</v>
      </c>
      <c r="B24" s="27">
        <v>32</v>
      </c>
      <c r="C24" s="37" t="s">
        <v>40</v>
      </c>
    </row>
    <row r="25" spans="1:3" x14ac:dyDescent="0.2">
      <c r="A25" s="37"/>
      <c r="B25" s="42"/>
      <c r="C25" s="37"/>
    </row>
    <row r="26" spans="1:3" x14ac:dyDescent="0.2">
      <c r="A26" s="17" t="s">
        <v>41</v>
      </c>
      <c r="B26" s="34">
        <v>450000</v>
      </c>
      <c r="C26" s="37" t="s">
        <v>42</v>
      </c>
    </row>
    <row r="27" spans="1:3" x14ac:dyDescent="0.2">
      <c r="A27" s="37"/>
      <c r="B27" s="37"/>
      <c r="C27" s="37"/>
    </row>
    <row r="28" spans="1:3" x14ac:dyDescent="0.2">
      <c r="A28" s="3" t="s">
        <v>43</v>
      </c>
      <c r="B28" s="35">
        <f>(B9+B22*B10*B11)*12</f>
        <v>36</v>
      </c>
      <c r="C28" s="37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I38"/>
  <sheetViews>
    <sheetView showGridLines="0" workbookViewId="0">
      <selection activeCell="B37" sqref="B37"/>
    </sheetView>
  </sheetViews>
  <sheetFormatPr baseColWidth="10" defaultRowHeight="16" x14ac:dyDescent="0.2"/>
  <cols>
    <col min="1" max="1" width="33.1640625" customWidth="1"/>
    <col min="2" max="2" width="16" customWidth="1"/>
  </cols>
  <sheetData>
    <row r="1" spans="1:9" ht="18" customHeight="1" x14ac:dyDescent="0.2">
      <c r="A1" s="43" t="s">
        <v>45</v>
      </c>
      <c r="B1" s="40"/>
      <c r="C1" s="40"/>
      <c r="D1" s="40"/>
      <c r="E1" s="40"/>
      <c r="F1" s="40"/>
      <c r="G1" s="40"/>
      <c r="H1" s="40"/>
      <c r="I1" s="40"/>
    </row>
    <row r="2" spans="1:9" x14ac:dyDescent="0.2">
      <c r="A2" s="37"/>
      <c r="B2" s="67"/>
      <c r="C2" s="67"/>
      <c r="D2" s="67"/>
      <c r="E2" s="67"/>
      <c r="F2" s="67"/>
      <c r="G2" s="67"/>
      <c r="H2" s="67"/>
      <c r="I2" s="67"/>
    </row>
    <row r="3" spans="1:9" x14ac:dyDescent="0.2">
      <c r="A3" s="44" t="s">
        <v>46</v>
      </c>
      <c r="B3" s="40"/>
      <c r="C3" s="40"/>
      <c r="D3" s="40"/>
      <c r="E3" s="40"/>
      <c r="F3" s="40"/>
      <c r="G3" s="40"/>
      <c r="H3" s="40"/>
      <c r="I3" s="40"/>
    </row>
    <row r="4" spans="1:9" ht="31" customHeight="1" x14ac:dyDescent="0.2">
      <c r="A4" s="45" t="s">
        <v>47</v>
      </c>
      <c r="B4" s="45" t="s">
        <v>48</v>
      </c>
      <c r="C4" s="45" t="s">
        <v>49</v>
      </c>
      <c r="D4" s="45" t="s">
        <v>50</v>
      </c>
      <c r="E4" s="45" t="s">
        <v>51</v>
      </c>
      <c r="F4" s="45" t="s">
        <v>52</v>
      </c>
      <c r="G4" s="45" t="s">
        <v>53</v>
      </c>
      <c r="H4" s="45" t="s">
        <v>54</v>
      </c>
      <c r="I4" s="45" t="s">
        <v>55</v>
      </c>
    </row>
    <row r="5" spans="1:9" x14ac:dyDescent="0.2">
      <c r="A5" s="46">
        <v>1</v>
      </c>
      <c r="B5" s="47" t="str">
        <f t="array" ref="B5">INDEX(Schedule!$C$3:$C$110,(A5-1)*12+1)</f>
        <v>Initial</v>
      </c>
      <c r="C5" s="47">
        <f>SUMIFS(Schedule!$F$3:$F$110,Schedule!$B$3:$B$110,$A5)</f>
        <v>48000</v>
      </c>
      <c r="D5" s="47">
        <f>SUMIFS(Schedule!$G$3:$G$110,Schedule!$B$3:$B$110,$A5)</f>
        <v>-4000</v>
      </c>
      <c r="E5" s="47">
        <f>SUMIFS(Schedule!$H$3:$H$110,Schedule!$B$3:$B$110,$A5)</f>
        <v>9375</v>
      </c>
      <c r="F5" s="47">
        <f t="shared" ref="F5:F13" si="0">SUM(C5:E5)</f>
        <v>53375</v>
      </c>
      <c r="G5" s="48">
        <f>F5/Assumptions!$B$5</f>
        <v>35.583333333333336</v>
      </c>
      <c r="H5" s="47">
        <f t="shared" ref="H5:H13" si="1">F5/12</f>
        <v>4447.916666666667</v>
      </c>
      <c r="I5" s="47">
        <f>F5</f>
        <v>53375</v>
      </c>
    </row>
    <row r="6" spans="1:9" x14ac:dyDescent="0.2">
      <c r="A6" s="46">
        <v>2</v>
      </c>
      <c r="B6" s="47" t="str">
        <f t="array" ref="B6">INDEX(Schedule!$C$3:$C$110,(A6-1)*12+1)</f>
        <v>Initial</v>
      </c>
      <c r="C6" s="47">
        <f>SUMIFS(Schedule!$F$3:$F$110,Schedule!$B$3:$B$110,$A6)</f>
        <v>49440</v>
      </c>
      <c r="D6" s="47">
        <f>SUMIFS(Schedule!$G$3:$G$110,Schedule!$B$3:$B$110,$A6)</f>
        <v>0</v>
      </c>
      <c r="E6" s="47">
        <f>SUMIFS(Schedule!$H$3:$H$110,Schedule!$B$3:$B$110,$A6)</f>
        <v>9656.25</v>
      </c>
      <c r="F6" s="47">
        <f t="shared" si="0"/>
        <v>59096.25</v>
      </c>
      <c r="G6" s="48">
        <f>F6/Assumptions!$B$5</f>
        <v>39.397500000000001</v>
      </c>
      <c r="H6" s="47">
        <f t="shared" si="1"/>
        <v>4924.6875</v>
      </c>
      <c r="I6" s="47">
        <f t="shared" ref="I6:I13" si="2">I5+F6</f>
        <v>112471.25</v>
      </c>
    </row>
    <row r="7" spans="1:9" x14ac:dyDescent="0.2">
      <c r="A7" s="46">
        <v>3</v>
      </c>
      <c r="B7" s="47" t="str">
        <f t="array" ref="B7">INDEX(Schedule!$C$3:$C$110,(A7-1)*12+1)</f>
        <v>Initial</v>
      </c>
      <c r="C7" s="47">
        <f>SUMIFS(Schedule!$F$3:$F$110,Schedule!$B$3:$B$110,$A7)</f>
        <v>50923.19999999999</v>
      </c>
      <c r="D7" s="47">
        <f>SUMIFS(Schedule!$G$3:$G$110,Schedule!$B$3:$B$110,$A7)</f>
        <v>0</v>
      </c>
      <c r="E7" s="47">
        <f>SUMIFS(Schedule!$H$3:$H$110,Schedule!$B$3:$B$110,$A7)</f>
        <v>9945.9374999999982</v>
      </c>
      <c r="F7" s="47">
        <f t="shared" si="0"/>
        <v>60869.13749999999</v>
      </c>
      <c r="G7" s="48">
        <f>F7/Assumptions!$B$5</f>
        <v>40.579424999999993</v>
      </c>
      <c r="H7" s="47">
        <f t="shared" si="1"/>
        <v>5072.4281249999995</v>
      </c>
      <c r="I7" s="47">
        <f t="shared" si="2"/>
        <v>173340.38749999998</v>
      </c>
    </row>
    <row r="8" spans="1:9" x14ac:dyDescent="0.2">
      <c r="A8" s="46">
        <v>4</v>
      </c>
      <c r="B8" s="47" t="str">
        <f t="array" ref="B8">INDEX(Schedule!$C$3:$C$110,(A8-1)*12+1)</f>
        <v>Option 1</v>
      </c>
      <c r="C8" s="47">
        <f>SUMIFS(Schedule!$F$3:$F$110,Schedule!$B$3:$B$110,$A8)</f>
        <v>0</v>
      </c>
      <c r="D8" s="47">
        <f>SUMIFS(Schedule!$G$3:$G$110,Schedule!$B$3:$B$110,$A8)</f>
        <v>0</v>
      </c>
      <c r="E8" s="47">
        <f>SUMIFS(Schedule!$H$3:$H$110,Schedule!$B$3:$B$110,$A8)</f>
        <v>0</v>
      </c>
      <c r="F8" s="47">
        <f t="shared" si="0"/>
        <v>0</v>
      </c>
      <c r="G8" s="48">
        <f>F8/Assumptions!$B$5</f>
        <v>0</v>
      </c>
      <c r="H8" s="47">
        <f t="shared" si="1"/>
        <v>0</v>
      </c>
      <c r="I8" s="47">
        <f t="shared" si="2"/>
        <v>173340.38749999998</v>
      </c>
    </row>
    <row r="9" spans="1:9" x14ac:dyDescent="0.2">
      <c r="A9" s="46">
        <v>5</v>
      </c>
      <c r="B9" s="47" t="str">
        <f t="array" ref="B9">INDEX(Schedule!$C$3:$C$110,(A9-1)*12+1)</f>
        <v>Option 1</v>
      </c>
      <c r="C9" s="47">
        <f>SUMIFS(Schedule!$F$3:$F$110,Schedule!$B$3:$B$110,$A9)</f>
        <v>0</v>
      </c>
      <c r="D9" s="47">
        <f>SUMIFS(Schedule!$G$3:$G$110,Schedule!$B$3:$B$110,$A9)</f>
        <v>0</v>
      </c>
      <c r="E9" s="47">
        <f>SUMIFS(Schedule!$H$3:$H$110,Schedule!$B$3:$B$110,$A9)</f>
        <v>0</v>
      </c>
      <c r="F9" s="47">
        <f t="shared" si="0"/>
        <v>0</v>
      </c>
      <c r="G9" s="48">
        <f>F9/Assumptions!$B$5</f>
        <v>0</v>
      </c>
      <c r="H9" s="47">
        <f t="shared" si="1"/>
        <v>0</v>
      </c>
      <c r="I9" s="47">
        <f t="shared" si="2"/>
        <v>173340.38749999998</v>
      </c>
    </row>
    <row r="10" spans="1:9" x14ac:dyDescent="0.2">
      <c r="A10" s="46">
        <v>6</v>
      </c>
      <c r="B10" s="47" t="str">
        <f t="array" ref="B10">INDEX(Schedule!$C$3:$C$110,(A10-1)*12+1)</f>
        <v>Option 1</v>
      </c>
      <c r="C10" s="47">
        <f>SUMIFS(Schedule!$F$3:$F$110,Schedule!$B$3:$B$110,$A10)</f>
        <v>0</v>
      </c>
      <c r="D10" s="47">
        <f>SUMIFS(Schedule!$G$3:$G$110,Schedule!$B$3:$B$110,$A10)</f>
        <v>0</v>
      </c>
      <c r="E10" s="47">
        <f>SUMIFS(Schedule!$H$3:$H$110,Schedule!$B$3:$B$110,$A10)</f>
        <v>0</v>
      </c>
      <c r="F10" s="47">
        <f t="shared" si="0"/>
        <v>0</v>
      </c>
      <c r="G10" s="48">
        <f>F10/Assumptions!$B$5</f>
        <v>0</v>
      </c>
      <c r="H10" s="47">
        <f t="shared" si="1"/>
        <v>0</v>
      </c>
      <c r="I10" s="47">
        <f t="shared" si="2"/>
        <v>173340.38749999998</v>
      </c>
    </row>
    <row r="11" spans="1:9" x14ac:dyDescent="0.2">
      <c r="A11" s="46">
        <v>7</v>
      </c>
      <c r="B11" s="47" t="str">
        <f t="array" ref="B11">INDEX(Schedule!$C$3:$C$110,(A11-1)*12+1)</f>
        <v>Option 2</v>
      </c>
      <c r="C11" s="47">
        <f>SUMIFS(Schedule!$F$3:$F$110,Schedule!$B$3:$B$110,$A11)</f>
        <v>0</v>
      </c>
      <c r="D11" s="47">
        <f>SUMIFS(Schedule!$G$3:$G$110,Schedule!$B$3:$B$110,$A11)</f>
        <v>0</v>
      </c>
      <c r="E11" s="47">
        <f>SUMIFS(Schedule!$H$3:$H$110,Schedule!$B$3:$B$110,$A11)</f>
        <v>0</v>
      </c>
      <c r="F11" s="47">
        <f t="shared" si="0"/>
        <v>0</v>
      </c>
      <c r="G11" s="48">
        <f>F11/Assumptions!$B$5</f>
        <v>0</v>
      </c>
      <c r="H11" s="47">
        <f t="shared" si="1"/>
        <v>0</v>
      </c>
      <c r="I11" s="47">
        <f t="shared" si="2"/>
        <v>173340.38749999998</v>
      </c>
    </row>
    <row r="12" spans="1:9" x14ac:dyDescent="0.2">
      <c r="A12" s="46">
        <v>8</v>
      </c>
      <c r="B12" s="47" t="str">
        <f t="array" ref="B12">INDEX(Schedule!$C$3:$C$110,(A12-1)*12+1)</f>
        <v>Option 2</v>
      </c>
      <c r="C12" s="47">
        <f>SUMIFS(Schedule!$F$3:$F$110,Schedule!$B$3:$B$110,$A12)</f>
        <v>0</v>
      </c>
      <c r="D12" s="47">
        <f>SUMIFS(Schedule!$G$3:$G$110,Schedule!$B$3:$B$110,$A12)</f>
        <v>0</v>
      </c>
      <c r="E12" s="47">
        <f>SUMIFS(Schedule!$H$3:$H$110,Schedule!$B$3:$B$110,$A12)</f>
        <v>0</v>
      </c>
      <c r="F12" s="47">
        <f t="shared" si="0"/>
        <v>0</v>
      </c>
      <c r="G12" s="48">
        <f>F12/Assumptions!$B$5</f>
        <v>0</v>
      </c>
      <c r="H12" s="47">
        <f t="shared" si="1"/>
        <v>0</v>
      </c>
      <c r="I12" s="47">
        <f t="shared" si="2"/>
        <v>173340.38749999998</v>
      </c>
    </row>
    <row r="13" spans="1:9" x14ac:dyDescent="0.2">
      <c r="A13" s="46">
        <v>9</v>
      </c>
      <c r="B13" s="47" t="str">
        <f t="array" ref="B13">INDEX(Schedule!$C$3:$C$110,(A13-1)*12+1)</f>
        <v>Option 2</v>
      </c>
      <c r="C13" s="47">
        <f>SUMIFS(Schedule!$F$3:$F$110,Schedule!$B$3:$B$110,$A13)</f>
        <v>0</v>
      </c>
      <c r="D13" s="47">
        <f>SUMIFS(Schedule!$G$3:$G$110,Schedule!$B$3:$B$110,$A13)</f>
        <v>0</v>
      </c>
      <c r="E13" s="47">
        <f>SUMIFS(Schedule!$H$3:$H$110,Schedule!$B$3:$B$110,$A13)</f>
        <v>0</v>
      </c>
      <c r="F13" s="47">
        <f t="shared" si="0"/>
        <v>0</v>
      </c>
      <c r="G13" s="48">
        <f>F13/Assumptions!$B$5</f>
        <v>0</v>
      </c>
      <c r="H13" s="47">
        <f t="shared" si="1"/>
        <v>0</v>
      </c>
      <c r="I13" s="47">
        <f t="shared" si="2"/>
        <v>173340.38749999998</v>
      </c>
    </row>
    <row r="14" spans="1:9" x14ac:dyDescent="0.2">
      <c r="A14" s="49" t="s">
        <v>56</v>
      </c>
      <c r="B14" s="49"/>
      <c r="C14" s="50">
        <f>SUM(C5:C13)</f>
        <v>148363.19999999998</v>
      </c>
      <c r="D14" s="50">
        <f>SUM(D5:D13)</f>
        <v>-4000</v>
      </c>
      <c r="E14" s="50">
        <f>SUM(E5:E13)</f>
        <v>28977.1875</v>
      </c>
      <c r="F14" s="50">
        <f>SUM(F5:F13)</f>
        <v>173340.38749999998</v>
      </c>
      <c r="G14" s="50"/>
      <c r="H14" s="50"/>
      <c r="I14" s="50"/>
    </row>
    <row r="15" spans="1:9" x14ac:dyDescent="0.2">
      <c r="A15" s="6" t="s">
        <v>57</v>
      </c>
      <c r="B15" s="37"/>
      <c r="C15" s="37"/>
      <c r="D15" s="37"/>
      <c r="E15" s="37"/>
      <c r="F15" s="37"/>
      <c r="G15" s="37"/>
      <c r="H15" s="37"/>
      <c r="I15" s="37"/>
    </row>
    <row r="16" spans="1:9" x14ac:dyDescent="0.2">
      <c r="A16" s="37"/>
      <c r="B16" s="37"/>
      <c r="C16" s="37"/>
      <c r="D16" s="37"/>
      <c r="E16" s="37"/>
      <c r="F16" s="37"/>
      <c r="G16" s="37"/>
      <c r="H16" s="37"/>
      <c r="I16" s="37"/>
    </row>
    <row r="17" spans="1:9" x14ac:dyDescent="0.2">
      <c r="A17" s="39" t="s">
        <v>58</v>
      </c>
      <c r="B17" s="40"/>
      <c r="C17" s="37"/>
      <c r="D17" s="37"/>
      <c r="E17" s="37"/>
      <c r="F17" s="37"/>
      <c r="G17" s="37"/>
      <c r="H17" s="37"/>
      <c r="I17" s="37"/>
    </row>
    <row r="18" spans="1:9" x14ac:dyDescent="0.2">
      <c r="A18" s="12" t="s">
        <v>59</v>
      </c>
      <c r="B18" s="51">
        <f>C5</f>
        <v>48000</v>
      </c>
      <c r="C18" s="37"/>
      <c r="D18" s="37"/>
      <c r="E18" s="37"/>
      <c r="F18" s="37"/>
      <c r="G18" s="37"/>
      <c r="H18" s="37"/>
      <c r="I18" s="37"/>
    </row>
    <row r="19" spans="1:9" ht="31" customHeight="1" x14ac:dyDescent="0.2">
      <c r="A19" s="12" t="s">
        <v>60</v>
      </c>
      <c r="B19" s="51">
        <f>C5+E5</f>
        <v>57375</v>
      </c>
      <c r="C19" s="37"/>
      <c r="D19" s="37"/>
      <c r="E19" s="37"/>
      <c r="F19" s="37"/>
      <c r="G19" s="37"/>
      <c r="H19" s="37"/>
      <c r="I19" s="37"/>
    </row>
    <row r="20" spans="1:9" ht="31" customHeight="1" x14ac:dyDescent="0.2">
      <c r="A20" s="12" t="s">
        <v>61</v>
      </c>
      <c r="B20" s="51">
        <f>(C5+E5)/12</f>
        <v>4781.25</v>
      </c>
      <c r="C20" s="37"/>
      <c r="D20" s="37"/>
      <c r="E20" s="37"/>
      <c r="F20" s="37"/>
      <c r="G20" s="37"/>
      <c r="H20" s="37"/>
      <c r="I20" s="37"/>
    </row>
    <row r="21" spans="1:9" x14ac:dyDescent="0.2">
      <c r="A21" s="12" t="s">
        <v>62</v>
      </c>
      <c r="B21" s="52">
        <f>Assumptions!$B$13*(C5+E5)/12</f>
        <v>4781.25</v>
      </c>
      <c r="C21" s="37"/>
      <c r="D21" s="37"/>
      <c r="E21" s="37"/>
      <c r="F21" s="37"/>
      <c r="G21" s="37"/>
      <c r="H21" s="37"/>
      <c r="I21" s="37"/>
    </row>
    <row r="22" spans="1:9" x14ac:dyDescent="0.2">
      <c r="A22" s="12" t="s">
        <v>63</v>
      </c>
      <c r="B22" s="53">
        <f>SUMIFS(F5:F13,A5:A13,"&lt;="&amp;Assumptions!$B$9)</f>
        <v>173340.38749999998</v>
      </c>
      <c r="C22" s="37"/>
      <c r="D22" s="37"/>
      <c r="E22" s="37"/>
      <c r="F22" s="37"/>
      <c r="G22" s="37"/>
      <c r="H22" s="37"/>
      <c r="I22" s="37"/>
    </row>
    <row r="23" spans="1:9" x14ac:dyDescent="0.2">
      <c r="A23" s="12" t="s">
        <v>64</v>
      </c>
      <c r="B23" s="53">
        <f>F14</f>
        <v>173340.38749999998</v>
      </c>
      <c r="C23" s="37"/>
      <c r="D23" s="37"/>
      <c r="E23" s="37"/>
      <c r="F23" s="37"/>
      <c r="G23" s="37"/>
      <c r="H23" s="37"/>
      <c r="I23" s="37"/>
    </row>
    <row r="24" spans="1:9" x14ac:dyDescent="0.2">
      <c r="A24" s="12" t="s">
        <v>65</v>
      </c>
      <c r="B24" s="53">
        <f>F14/(SUM(Schedule!$D$3:$D$110)/12)</f>
        <v>57780.129166666658</v>
      </c>
      <c r="C24" s="37"/>
      <c r="D24" s="37"/>
      <c r="E24" s="37"/>
      <c r="F24" s="37"/>
      <c r="G24" s="37"/>
      <c r="H24" s="37"/>
      <c r="I24" s="37"/>
    </row>
    <row r="25" spans="1:9" ht="31" customHeight="1" x14ac:dyDescent="0.2">
      <c r="A25" s="12" t="s">
        <v>66</v>
      </c>
      <c r="B25" s="51">
        <f>B24/Assumptions!$B$5</f>
        <v>38.520086111111105</v>
      </c>
      <c r="C25" s="37"/>
      <c r="D25" s="37"/>
      <c r="E25" s="37"/>
      <c r="F25" s="37"/>
      <c r="G25" s="37"/>
      <c r="H25" s="37"/>
      <c r="I25" s="37"/>
    </row>
    <row r="26" spans="1:9" ht="31" customHeight="1" x14ac:dyDescent="0.2">
      <c r="A26" s="12" t="s">
        <v>67</v>
      </c>
      <c r="B26" s="51">
        <f>(C14+D14)/(SUM(Schedule!$D$3:$D$110)/12)/Assumptions!$B$5</f>
        <v>32.080711111111107</v>
      </c>
      <c r="C26" s="37"/>
      <c r="D26" s="37"/>
      <c r="E26" s="37"/>
      <c r="F26" s="37"/>
      <c r="G26" s="37"/>
      <c r="H26" s="37"/>
      <c r="I26" s="37"/>
    </row>
    <row r="27" spans="1:9" x14ac:dyDescent="0.2">
      <c r="A27" s="12" t="s">
        <v>68</v>
      </c>
      <c r="B27" s="13">
        <f>-D14/C14</f>
        <v>2.6960863610383173E-2</v>
      </c>
      <c r="C27" s="37"/>
      <c r="D27" s="37"/>
      <c r="E27" s="37"/>
      <c r="F27" s="37"/>
      <c r="G27" s="37"/>
      <c r="H27" s="37"/>
      <c r="I27" s="37"/>
    </row>
    <row r="28" spans="1:9" ht="31" customHeight="1" x14ac:dyDescent="0.2">
      <c r="A28" s="12" t="s">
        <v>69</v>
      </c>
      <c r="B28" s="8">
        <f>SUM(Schedule!K3:K110)</f>
        <v>152981.27812160517</v>
      </c>
      <c r="C28" s="37"/>
      <c r="D28" s="37"/>
      <c r="E28" s="37"/>
      <c r="F28" s="37"/>
      <c r="G28" s="37"/>
      <c r="H28" s="37"/>
      <c r="I28" s="37"/>
    </row>
    <row r="29" spans="1:9" x14ac:dyDescent="0.2">
      <c r="A29" s="12" t="s">
        <v>70</v>
      </c>
      <c r="B29" s="13">
        <f>Assumptions!$B$6/Assumptions!$B$24-1</f>
        <v>0</v>
      </c>
      <c r="C29" s="37"/>
      <c r="D29" s="37"/>
      <c r="E29" s="37"/>
      <c r="F29" s="37"/>
      <c r="G29" s="37"/>
      <c r="H29" s="37"/>
      <c r="I29" s="37"/>
    </row>
    <row r="30" spans="1:9" ht="31" customHeight="1" x14ac:dyDescent="0.2">
      <c r="A30" s="12" t="s">
        <v>71</v>
      </c>
      <c r="B30" s="8">
        <f>(Assumptions!$B$24-Assumptions!$B$6)*Assumptions!$B$5</f>
        <v>0</v>
      </c>
      <c r="C30" s="37"/>
      <c r="D30" s="37"/>
      <c r="E30" s="37"/>
      <c r="F30" s="37"/>
      <c r="G30" s="37"/>
      <c r="H30" s="37"/>
      <c r="I30" s="37"/>
    </row>
    <row r="31" spans="1:9" ht="31" customHeight="1" x14ac:dyDescent="0.2">
      <c r="A31" s="12" t="s">
        <v>72</v>
      </c>
      <c r="B31" s="54">
        <f>F5/Assumptions!$B$26</f>
        <v>0.11861111111111111</v>
      </c>
      <c r="C31" s="37"/>
      <c r="D31" s="37"/>
      <c r="E31" s="37"/>
      <c r="F31" s="37"/>
      <c r="G31" s="37"/>
      <c r="H31" s="37"/>
      <c r="I31" s="37"/>
    </row>
    <row r="32" spans="1:9" ht="31" customHeight="1" x14ac:dyDescent="0.2">
      <c r="A32" s="12" t="s">
        <v>73</v>
      </c>
      <c r="B32" s="52">
        <f>C14*Assumptions!$B$18</f>
        <v>4450.8959999999997</v>
      </c>
      <c r="C32" s="37"/>
      <c r="D32" s="37"/>
      <c r="E32" s="37"/>
      <c r="F32" s="37"/>
      <c r="G32" s="37"/>
      <c r="H32" s="37"/>
      <c r="I32" s="37"/>
    </row>
    <row r="33" spans="1:9" ht="31" customHeight="1" x14ac:dyDescent="0.2">
      <c r="A33" s="12" t="s">
        <v>74</v>
      </c>
      <c r="B33" s="8">
        <f>F5/0.1</f>
        <v>533750</v>
      </c>
      <c r="C33" s="37"/>
      <c r="D33" s="37"/>
      <c r="E33" s="37"/>
      <c r="F33" s="37"/>
      <c r="G33" s="37"/>
      <c r="H33" s="37"/>
      <c r="I33" s="37"/>
    </row>
    <row r="34" spans="1:9" x14ac:dyDescent="0.2">
      <c r="A34" s="37"/>
      <c r="B34" s="37"/>
      <c r="C34" s="37"/>
      <c r="D34" s="37"/>
      <c r="E34" s="37"/>
      <c r="F34" s="37"/>
      <c r="G34" s="37"/>
      <c r="H34" s="37"/>
      <c r="I34" s="37"/>
    </row>
    <row r="35" spans="1:9" x14ac:dyDescent="0.2">
      <c r="A35" s="37"/>
      <c r="B35" s="37"/>
      <c r="C35" s="37"/>
      <c r="D35" s="37"/>
      <c r="E35" s="37"/>
      <c r="F35" s="37"/>
      <c r="G35" s="37"/>
      <c r="H35" s="37"/>
      <c r="I35" s="37"/>
    </row>
    <row r="36" spans="1:9" x14ac:dyDescent="0.2">
      <c r="A36" s="3" t="s">
        <v>75</v>
      </c>
      <c r="B36" s="37"/>
      <c r="C36" s="37"/>
      <c r="D36" s="37"/>
      <c r="E36" s="37"/>
      <c r="F36" s="37"/>
      <c r="G36" s="37"/>
      <c r="H36" s="37"/>
      <c r="I36" s="37"/>
    </row>
    <row r="37" spans="1:9" x14ac:dyDescent="0.2">
      <c r="A37" s="2" t="s">
        <v>76</v>
      </c>
      <c r="B37" s="37"/>
      <c r="C37" s="37"/>
      <c r="D37" s="37"/>
      <c r="E37" s="37"/>
      <c r="F37" s="37"/>
      <c r="G37" s="37"/>
      <c r="H37" s="37"/>
      <c r="I37" s="37"/>
    </row>
    <row r="38" spans="1:9" x14ac:dyDescent="0.2">
      <c r="A38" s="2" t="s">
        <v>77</v>
      </c>
      <c r="B38" s="37"/>
      <c r="C38" s="37"/>
      <c r="D38" s="37"/>
      <c r="E38" s="37"/>
      <c r="F38" s="37"/>
      <c r="G38" s="37"/>
      <c r="H38" s="37"/>
      <c r="I38" s="3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M72"/>
  <sheetViews>
    <sheetView showGridLines="0" workbookViewId="0">
      <selection activeCell="A11" sqref="A11:F18"/>
    </sheetView>
  </sheetViews>
  <sheetFormatPr baseColWidth="10" defaultRowHeight="16" x14ac:dyDescent="0.2"/>
  <cols>
    <col min="1" max="1" width="27.6640625" customWidth="1"/>
    <col min="2" max="6" width="12.5" bestFit="1" customWidth="1"/>
    <col min="9" max="9" width="31.1640625" customWidth="1"/>
    <col min="10" max="10" width="11.1640625" bestFit="1" customWidth="1"/>
    <col min="11" max="11" width="14.6640625" customWidth="1"/>
  </cols>
  <sheetData>
    <row r="1" spans="1:13" ht="18" customHeight="1" x14ac:dyDescent="0.2">
      <c r="A1" s="1" t="s">
        <v>78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2">
      <c r="A2" s="38" t="s">
        <v>79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x14ac:dyDescent="0.2">
      <c r="A3" s="37"/>
      <c r="B3" s="37"/>
      <c r="C3" s="37"/>
      <c r="D3" s="37"/>
      <c r="E3" s="37"/>
      <c r="F3" s="37"/>
      <c r="G3" s="37"/>
      <c r="H3" s="37"/>
      <c r="I3" s="55" t="s">
        <v>80</v>
      </c>
      <c r="J3" s="37"/>
      <c r="K3" s="37"/>
      <c r="L3" s="37"/>
      <c r="M3" s="37"/>
    </row>
    <row r="4" spans="1:13" x14ac:dyDescent="0.2">
      <c r="A4" s="17" t="s">
        <v>81</v>
      </c>
      <c r="B4" s="24">
        <v>1</v>
      </c>
      <c r="C4" s="37"/>
      <c r="D4" s="37"/>
      <c r="E4" s="37"/>
      <c r="F4" s="37"/>
      <c r="G4" s="37"/>
      <c r="H4" s="37"/>
      <c r="I4" s="37" t="s">
        <v>82</v>
      </c>
      <c r="J4" s="56">
        <v>32</v>
      </c>
      <c r="K4" s="37" t="s">
        <v>83</v>
      </c>
      <c r="L4" s="37"/>
      <c r="M4" s="37"/>
    </row>
    <row r="5" spans="1:13" x14ac:dyDescent="0.2">
      <c r="A5" s="17" t="s">
        <v>84</v>
      </c>
      <c r="B5" s="25">
        <v>5.0000000000000001E-3</v>
      </c>
      <c r="C5" s="37"/>
      <c r="D5" s="37"/>
      <c r="E5" s="37"/>
      <c r="F5" s="37"/>
      <c r="G5" s="37"/>
      <c r="H5" s="37"/>
      <c r="I5" s="37" t="s">
        <v>85</v>
      </c>
      <c r="J5" s="57">
        <v>0.03</v>
      </c>
      <c r="K5" s="37" t="s">
        <v>83</v>
      </c>
      <c r="L5" s="37"/>
      <c r="M5" s="37"/>
    </row>
    <row r="6" spans="1:13" x14ac:dyDescent="0.2">
      <c r="A6" s="17" t="s">
        <v>86</v>
      </c>
      <c r="B6" s="18">
        <v>50000</v>
      </c>
      <c r="C6" s="37"/>
      <c r="D6" s="37"/>
      <c r="E6" s="37"/>
      <c r="F6" s="37"/>
      <c r="G6" s="37"/>
      <c r="H6" s="37"/>
      <c r="I6" s="37" t="s">
        <v>87</v>
      </c>
      <c r="J6" s="58">
        <f>(Assumptions!$B$5*J4*IF(J5=0,Assumptions!$B$9,((1+J5)^Assumptions!$B$9-1)/J5)-Assumptions!$B$5*J4/12*Assumptions!$B$12)/(Assumptions!$B$9*Assumptions!$B$5)</f>
        <v>32.080711111111114</v>
      </c>
      <c r="K6" s="37" t="s">
        <v>88</v>
      </c>
      <c r="L6" s="37"/>
      <c r="M6" s="37"/>
    </row>
    <row r="7" spans="1:13" x14ac:dyDescent="0.2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</row>
    <row r="8" spans="1:13" x14ac:dyDescent="0.2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</row>
    <row r="9" spans="1:13" x14ac:dyDescent="0.2">
      <c r="A9" s="39" t="s">
        <v>89</v>
      </c>
      <c r="B9" s="40"/>
      <c r="C9" s="40"/>
      <c r="D9" s="40"/>
      <c r="E9" s="40"/>
      <c r="F9" s="40"/>
      <c r="G9" s="40"/>
      <c r="H9" s="40"/>
      <c r="I9" s="37"/>
      <c r="J9" s="37"/>
      <c r="K9" s="37"/>
      <c r="L9" s="37"/>
      <c r="M9" s="37"/>
    </row>
    <row r="10" spans="1:13" x14ac:dyDescent="0.2">
      <c r="A10" s="6" t="s">
        <v>90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</row>
    <row r="11" spans="1:13" x14ac:dyDescent="0.2">
      <c r="A11" s="73">
        <f>(Assumptions!$B$5*J4*IF(J5=0,Assumptions!$B$9,((1+J5)^Assumptions!$B$9-1)/J5)-Assumptions!$B$5*J4/12*Assumptions!$B$12)/(Assumptions!$B$9*Assumptions!$B$5)</f>
        <v>32.080711111111114</v>
      </c>
      <c r="B11" s="80">
        <v>0.02</v>
      </c>
      <c r="C11" s="80">
        <v>2.5000000000000001E-2</v>
      </c>
      <c r="D11" s="80">
        <v>0.03</v>
      </c>
      <c r="E11" s="80">
        <v>3.5000000000000003E-2</v>
      </c>
      <c r="F11" s="80">
        <v>0.04</v>
      </c>
      <c r="G11" s="37"/>
      <c r="H11" s="21"/>
      <c r="I11" s="37" t="s">
        <v>91</v>
      </c>
      <c r="J11" s="59">
        <v>1</v>
      </c>
      <c r="K11" s="37" t="s">
        <v>83</v>
      </c>
      <c r="L11" s="22"/>
      <c r="M11" s="22"/>
    </row>
    <row r="12" spans="1:13" x14ac:dyDescent="0.2">
      <c r="A12" s="81">
        <v>29</v>
      </c>
      <c r="B12" s="9">
        <f t="dataTable" ref="B12:F18" dt2D="1" dtr="1" r1="J5" r2="J4" ca="1"/>
        <v>28.778311111111076</v>
      </c>
      <c r="C12" s="9">
        <v>28.925486111111066</v>
      </c>
      <c r="D12" s="9">
        <v>29.073144444444448</v>
      </c>
      <c r="E12" s="9">
        <v>29.221286111111034</v>
      </c>
      <c r="F12" s="9">
        <v>29.369911111111133</v>
      </c>
      <c r="G12" s="37"/>
      <c r="H12" s="23"/>
      <c r="I12" s="37" t="s">
        <v>92</v>
      </c>
      <c r="J12" s="59">
        <v>3</v>
      </c>
      <c r="K12" s="37" t="s">
        <v>83</v>
      </c>
      <c r="L12" s="5"/>
      <c r="M12" s="5"/>
    </row>
    <row r="13" spans="1:13" x14ac:dyDescent="0.2">
      <c r="A13" s="81">
        <v>30</v>
      </c>
      <c r="B13" s="9">
        <v>29.770666666666635</v>
      </c>
      <c r="C13" s="9">
        <v>29.922916666666623</v>
      </c>
      <c r="D13" s="9">
        <v>30.075666666666674</v>
      </c>
      <c r="E13" s="9">
        <v>30.228916666666588</v>
      </c>
      <c r="F13" s="9">
        <v>30.382666666666687</v>
      </c>
      <c r="G13" s="37"/>
      <c r="H13" s="23"/>
      <c r="I13" s="37" t="s">
        <v>93</v>
      </c>
      <c r="J13" s="60">
        <v>450000</v>
      </c>
      <c r="K13" s="37" t="s">
        <v>83</v>
      </c>
      <c r="L13" s="5"/>
      <c r="M13" s="5"/>
    </row>
    <row r="14" spans="1:13" ht="17" customHeight="1" x14ac:dyDescent="0.2">
      <c r="A14" s="81">
        <v>31</v>
      </c>
      <c r="B14" s="9">
        <v>30.763022222222183</v>
      </c>
      <c r="C14" s="9">
        <v>30.920347222222169</v>
      </c>
      <c r="D14" s="9">
        <v>31.078188888888889</v>
      </c>
      <c r="E14" s="9">
        <v>31.236547222222143</v>
      </c>
      <c r="F14" s="9">
        <v>31.395422222222248</v>
      </c>
      <c r="G14" s="37"/>
      <c r="H14" s="23"/>
      <c r="I14" s="5"/>
      <c r="J14" s="5"/>
      <c r="K14" s="5"/>
      <c r="L14" s="5"/>
      <c r="M14" s="5"/>
    </row>
    <row r="15" spans="1:13" ht="17" customHeight="1" x14ac:dyDescent="0.2">
      <c r="A15" s="81">
        <v>32</v>
      </c>
      <c r="B15" s="9">
        <v>31.755377777777742</v>
      </c>
      <c r="C15" s="9">
        <v>31.917777777777726</v>
      </c>
      <c r="D15" s="72">
        <v>32.080711111111114</v>
      </c>
      <c r="E15" s="9">
        <v>32.244177777777701</v>
      </c>
      <c r="F15" s="9">
        <v>32.408177777777802</v>
      </c>
      <c r="G15" s="37"/>
      <c r="H15" s="23"/>
      <c r="I15" s="37" t="s">
        <v>94</v>
      </c>
      <c r="J15" s="4">
        <f>Assumptions!$B$5*J4*IF(J5=0,J12,((1+J5)^J12-1)/J5)-Assumptions!$B$5*J4/12*J11+Assumptions!$B$5*Assumptions!$B$8*IF(Assumptions!$B$20=0,J12,((1+Assumptions!$B$20)^J12-1)/Assumptions!$B$20)</f>
        <v>173340.38750000001</v>
      </c>
      <c r="K15" s="37" t="s">
        <v>95</v>
      </c>
      <c r="L15" s="5"/>
      <c r="M15" s="5"/>
    </row>
    <row r="16" spans="1:13" x14ac:dyDescent="0.2">
      <c r="A16" s="81">
        <v>33</v>
      </c>
      <c r="B16" s="9">
        <v>32.747733333333294</v>
      </c>
      <c r="C16" s="9">
        <v>32.915208333333283</v>
      </c>
      <c r="D16" s="9">
        <v>33.083233333333339</v>
      </c>
      <c r="E16" s="9">
        <v>33.251808333333244</v>
      </c>
      <c r="F16" s="9">
        <v>33.420933333333352</v>
      </c>
      <c r="G16" s="37"/>
      <c r="H16" s="23"/>
      <c r="I16" s="37" t="s">
        <v>96</v>
      </c>
      <c r="J16" s="5">
        <f>J15/(J12*Assumptions!$B$5)</f>
        <v>38.520086111111112</v>
      </c>
      <c r="K16" s="37" t="s">
        <v>97</v>
      </c>
      <c r="L16" s="5"/>
      <c r="M16" s="5"/>
    </row>
    <row r="17" spans="1:13" x14ac:dyDescent="0.2">
      <c r="A17" s="81">
        <v>34</v>
      </c>
      <c r="B17" s="9">
        <v>33.740088888888849</v>
      </c>
      <c r="C17" s="9">
        <v>33.912638888888836</v>
      </c>
      <c r="D17" s="9">
        <v>34.085755555555558</v>
      </c>
      <c r="E17" s="9">
        <v>34.259438888888802</v>
      </c>
      <c r="F17" s="9">
        <v>34.433688888888916</v>
      </c>
      <c r="G17" s="37"/>
      <c r="H17" s="23"/>
      <c r="I17" s="37" t="s">
        <v>98</v>
      </c>
      <c r="J17" s="61">
        <f>A48</f>
        <v>0.1275</v>
      </c>
      <c r="K17" s="37" t="s">
        <v>99</v>
      </c>
      <c r="L17" s="5"/>
      <c r="M17" s="5"/>
    </row>
    <row r="18" spans="1:13" x14ac:dyDescent="0.2">
      <c r="A18" s="81">
        <v>35</v>
      </c>
      <c r="B18" s="9">
        <v>34.732444444444404</v>
      </c>
      <c r="C18" s="9">
        <v>34.910069444444389</v>
      </c>
      <c r="D18" s="9">
        <v>35.088277777777783</v>
      </c>
      <c r="E18" s="9">
        <v>35.267069444444353</v>
      </c>
      <c r="F18" s="9">
        <v>35.446444444444474</v>
      </c>
      <c r="G18" s="37"/>
      <c r="H18" s="23"/>
      <c r="I18" s="5"/>
      <c r="J18" s="5"/>
      <c r="K18" s="5"/>
      <c r="L18" s="5"/>
      <c r="M18" s="5"/>
    </row>
    <row r="19" spans="1:13" x14ac:dyDescent="0.2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</row>
    <row r="20" spans="1:13" x14ac:dyDescent="0.2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</row>
    <row r="21" spans="1:13" x14ac:dyDescent="0.2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</row>
    <row r="22" spans="1:13" x14ac:dyDescent="0.2">
      <c r="A22" s="39" t="s">
        <v>100</v>
      </c>
      <c r="B22" s="40"/>
      <c r="C22" s="40"/>
      <c r="D22" s="40"/>
      <c r="E22" s="40"/>
      <c r="F22" s="40"/>
      <c r="G22" s="40"/>
      <c r="H22" s="40"/>
      <c r="I22" s="37"/>
      <c r="J22" s="37"/>
      <c r="K22" s="37"/>
      <c r="L22" s="37"/>
      <c r="M22" s="37"/>
    </row>
    <row r="23" spans="1:13" x14ac:dyDescent="0.2">
      <c r="A23" s="6" t="s">
        <v>101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</row>
    <row r="24" spans="1:13" x14ac:dyDescent="0.2">
      <c r="A24" s="73">
        <f>J15</f>
        <v>173340.38750000001</v>
      </c>
      <c r="B24" s="79">
        <v>0</v>
      </c>
      <c r="C24" s="79">
        <v>1</v>
      </c>
      <c r="D24" s="79">
        <v>2</v>
      </c>
      <c r="E24" s="79">
        <v>3</v>
      </c>
      <c r="F24" s="79">
        <v>4</v>
      </c>
      <c r="G24" s="37"/>
      <c r="H24" s="37"/>
      <c r="I24" s="37"/>
      <c r="J24" s="37"/>
      <c r="K24" s="37"/>
      <c r="L24" s="37"/>
      <c r="M24" s="37"/>
    </row>
    <row r="25" spans="1:13" x14ac:dyDescent="0.2">
      <c r="A25" s="76">
        <v>29</v>
      </c>
      <c r="B25" s="8">
        <f t="dataTable" ref="B25:F31" dt2D="1" dtr="1" r1="J11" r2="J4" ca="1"/>
        <v>163431.33750000002</v>
      </c>
      <c r="C25" s="8">
        <v>159806.33750000002</v>
      </c>
      <c r="D25" s="8">
        <v>156181.33750000002</v>
      </c>
      <c r="E25" s="8">
        <v>152556.33750000002</v>
      </c>
      <c r="F25" s="8">
        <v>148931.33750000002</v>
      </c>
      <c r="G25" s="37"/>
      <c r="H25" s="37"/>
      <c r="I25" s="37"/>
      <c r="J25" s="37"/>
      <c r="K25" s="37"/>
      <c r="L25" s="37"/>
      <c r="M25" s="37"/>
    </row>
    <row r="26" spans="1:13" x14ac:dyDescent="0.2">
      <c r="A26" s="76">
        <v>30</v>
      </c>
      <c r="B26" s="8">
        <v>168067.68750000003</v>
      </c>
      <c r="C26" s="8">
        <v>164317.68750000003</v>
      </c>
      <c r="D26" s="8">
        <v>160567.68750000003</v>
      </c>
      <c r="E26" s="8">
        <v>156817.68750000003</v>
      </c>
      <c r="F26" s="8">
        <v>153067.68750000003</v>
      </c>
      <c r="G26" s="37"/>
      <c r="H26" s="37"/>
      <c r="I26" s="37"/>
      <c r="J26" s="37"/>
      <c r="K26" s="37"/>
      <c r="L26" s="37"/>
      <c r="M26" s="37"/>
    </row>
    <row r="27" spans="1:13" ht="17" customHeight="1" x14ac:dyDescent="0.2">
      <c r="A27" s="76">
        <v>31</v>
      </c>
      <c r="B27" s="8">
        <v>172704.03750000001</v>
      </c>
      <c r="C27" s="8">
        <v>168829.03750000001</v>
      </c>
      <c r="D27" s="8">
        <v>164954.03750000001</v>
      </c>
      <c r="E27" s="8">
        <v>161079.03750000001</v>
      </c>
      <c r="F27" s="8">
        <v>157204.03750000001</v>
      </c>
      <c r="G27" s="37"/>
      <c r="H27" s="37"/>
      <c r="I27" s="37"/>
      <c r="J27" s="37"/>
      <c r="K27" s="37"/>
      <c r="L27" s="37"/>
      <c r="M27" s="37"/>
    </row>
    <row r="28" spans="1:13" ht="17" customHeight="1" x14ac:dyDescent="0.2">
      <c r="A28" s="76">
        <v>32</v>
      </c>
      <c r="B28" s="8">
        <v>177340.38750000001</v>
      </c>
      <c r="C28" s="11">
        <v>173340.38750000001</v>
      </c>
      <c r="D28" s="8">
        <v>169340.38750000001</v>
      </c>
      <c r="E28" s="8">
        <v>165340.38750000001</v>
      </c>
      <c r="F28" s="8">
        <v>161340.38750000001</v>
      </c>
      <c r="G28" s="37"/>
      <c r="H28" s="37"/>
      <c r="I28" s="37"/>
      <c r="J28" s="37"/>
      <c r="K28" s="37"/>
      <c r="L28" s="37"/>
      <c r="M28" s="37"/>
    </row>
    <row r="29" spans="1:13" x14ac:dyDescent="0.2">
      <c r="A29" s="76">
        <v>33</v>
      </c>
      <c r="B29" s="8">
        <v>181976.73750000002</v>
      </c>
      <c r="C29" s="8">
        <v>177851.73750000002</v>
      </c>
      <c r="D29" s="8">
        <v>173726.73750000002</v>
      </c>
      <c r="E29" s="8">
        <v>169601.73750000002</v>
      </c>
      <c r="F29" s="8">
        <v>165476.73750000002</v>
      </c>
      <c r="G29" s="37"/>
      <c r="H29" s="37"/>
      <c r="I29" s="37"/>
      <c r="J29" s="37"/>
      <c r="K29" s="37"/>
      <c r="L29" s="37"/>
      <c r="M29" s="37"/>
    </row>
    <row r="30" spans="1:13" x14ac:dyDescent="0.2">
      <c r="A30" s="76">
        <v>34</v>
      </c>
      <c r="B30" s="8">
        <v>186613.08750000002</v>
      </c>
      <c r="C30" s="8">
        <v>182363.08750000002</v>
      </c>
      <c r="D30" s="8">
        <v>178113.08750000002</v>
      </c>
      <c r="E30" s="8">
        <v>173863.08750000002</v>
      </c>
      <c r="F30" s="8">
        <v>169613.08750000002</v>
      </c>
      <c r="G30" s="37"/>
      <c r="H30" s="37"/>
      <c r="I30" s="37"/>
      <c r="J30" s="37"/>
      <c r="K30" s="37"/>
      <c r="L30" s="37"/>
      <c r="M30" s="37"/>
    </row>
    <row r="31" spans="1:13" x14ac:dyDescent="0.2">
      <c r="A31" s="76">
        <v>35</v>
      </c>
      <c r="B31" s="8">
        <v>191249.43750000003</v>
      </c>
      <c r="C31" s="8">
        <v>186874.43750000003</v>
      </c>
      <c r="D31" s="8">
        <v>182499.43750000003</v>
      </c>
      <c r="E31" s="8">
        <v>178124.43750000003</v>
      </c>
      <c r="F31" s="8">
        <v>173749.43750000003</v>
      </c>
      <c r="G31" s="37"/>
      <c r="H31" s="37"/>
      <c r="I31" s="37"/>
      <c r="J31" s="37"/>
      <c r="K31" s="37"/>
      <c r="L31" s="37"/>
      <c r="M31" s="37"/>
    </row>
    <row r="32" spans="1:13" x14ac:dyDescent="0.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</row>
    <row r="33" spans="1:13" x14ac:dyDescent="0.2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</row>
    <row r="34" spans="1:13" x14ac:dyDescent="0.2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</row>
    <row r="35" spans="1:13" x14ac:dyDescent="0.2">
      <c r="A35" s="39" t="s">
        <v>102</v>
      </c>
      <c r="B35" s="40"/>
      <c r="C35" s="40"/>
      <c r="D35" s="40"/>
      <c r="E35" s="40"/>
      <c r="F35" s="40"/>
      <c r="G35" s="40"/>
      <c r="H35" s="40"/>
      <c r="I35" s="37"/>
      <c r="J35" s="37"/>
      <c r="K35" s="37"/>
      <c r="L35" s="37"/>
      <c r="M35" s="37"/>
    </row>
    <row r="36" spans="1:13" x14ac:dyDescent="0.2">
      <c r="A36" s="6" t="s">
        <v>103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</row>
    <row r="37" spans="1:13" x14ac:dyDescent="0.2">
      <c r="A37" s="73">
        <f>J16</f>
        <v>38.520086111111112</v>
      </c>
      <c r="B37" s="78">
        <v>2</v>
      </c>
      <c r="C37" s="78">
        <v>3</v>
      </c>
      <c r="D37" s="78">
        <v>4</v>
      </c>
      <c r="E37" s="78">
        <v>5</v>
      </c>
      <c r="F37" s="78">
        <v>6</v>
      </c>
      <c r="G37" s="78">
        <v>7</v>
      </c>
      <c r="H37" s="37"/>
      <c r="I37" s="37"/>
      <c r="J37" s="37"/>
      <c r="K37" s="37"/>
      <c r="L37" s="37"/>
      <c r="M37" s="37"/>
    </row>
    <row r="38" spans="1:13" ht="17" customHeight="1" x14ac:dyDescent="0.2">
      <c r="A38" s="79">
        <v>0</v>
      </c>
      <c r="B38" s="9">
        <f t="dataTable" ref="B38:G42" dt2D="1" dtr="1" r1="J12" r2="J11"/>
        <v>38.823749999999968</v>
      </c>
      <c r="C38" s="9">
        <v>39.408975000000005</v>
      </c>
      <c r="D38" s="9">
        <v>40.005933187499984</v>
      </c>
      <c r="E38" s="9">
        <v>40.61488894649996</v>
      </c>
      <c r="F38" s="9">
        <v>41.236113012412481</v>
      </c>
      <c r="G38" s="9">
        <v>41.869882630958458</v>
      </c>
      <c r="H38" s="37"/>
      <c r="I38" s="37"/>
      <c r="J38" s="37"/>
      <c r="K38" s="37"/>
      <c r="L38" s="37"/>
      <c r="M38" s="37"/>
    </row>
    <row r="39" spans="1:13" ht="17" customHeight="1" x14ac:dyDescent="0.2">
      <c r="A39" s="79">
        <v>1</v>
      </c>
      <c r="B39" s="9">
        <v>37.49041666666664</v>
      </c>
      <c r="C39" s="72">
        <v>38.520086111111112</v>
      </c>
      <c r="D39" s="9">
        <v>39.339266520833313</v>
      </c>
      <c r="E39" s="9">
        <v>40.081555613166628</v>
      </c>
      <c r="F39" s="9">
        <v>40.791668567968031</v>
      </c>
      <c r="G39" s="9">
        <v>41.488930250006078</v>
      </c>
      <c r="H39" s="37"/>
      <c r="I39" s="37"/>
      <c r="J39" s="37"/>
      <c r="K39" s="37"/>
      <c r="L39" s="37"/>
      <c r="M39" s="37"/>
    </row>
    <row r="40" spans="1:13" x14ac:dyDescent="0.2">
      <c r="A40" s="79">
        <v>2</v>
      </c>
      <c r="B40" s="9">
        <v>36.157083333333304</v>
      </c>
      <c r="C40" s="9">
        <v>37.631197222222227</v>
      </c>
      <c r="D40" s="9">
        <v>38.672599854166648</v>
      </c>
      <c r="E40" s="9">
        <v>39.548222279833297</v>
      </c>
      <c r="F40" s="9">
        <v>40.347224123523588</v>
      </c>
      <c r="G40" s="9">
        <v>41.107977869053698</v>
      </c>
      <c r="H40" s="37"/>
      <c r="I40" s="37"/>
      <c r="J40" s="37"/>
      <c r="K40" s="37"/>
      <c r="L40" s="37"/>
      <c r="M40" s="37"/>
    </row>
    <row r="41" spans="1:13" x14ac:dyDescent="0.2">
      <c r="A41" s="79">
        <v>3</v>
      </c>
      <c r="B41" s="9">
        <v>34.823749999999968</v>
      </c>
      <c r="C41" s="9">
        <v>36.742308333333334</v>
      </c>
      <c r="D41" s="9">
        <v>38.005933187499984</v>
      </c>
      <c r="E41" s="9">
        <v>39.014888946499966</v>
      </c>
      <c r="F41" s="9">
        <v>39.902779679079146</v>
      </c>
      <c r="G41" s="9">
        <v>40.727025488101319</v>
      </c>
      <c r="H41" s="37"/>
      <c r="I41" s="37"/>
      <c r="J41" s="37"/>
      <c r="K41" s="37"/>
      <c r="L41" s="37"/>
      <c r="M41" s="37"/>
    </row>
    <row r="42" spans="1:13" x14ac:dyDescent="0.2">
      <c r="A42" s="79">
        <v>4</v>
      </c>
      <c r="B42" s="9">
        <v>33.49041666666664</v>
      </c>
      <c r="C42" s="9">
        <v>35.853419444444448</v>
      </c>
      <c r="D42" s="9">
        <v>37.339266520833313</v>
      </c>
      <c r="E42" s="9">
        <v>38.481555613166627</v>
      </c>
      <c r="F42" s="9">
        <v>39.458335234634703</v>
      </c>
      <c r="G42" s="9">
        <v>40.346073107148939</v>
      </c>
      <c r="H42" s="37"/>
      <c r="I42" s="37"/>
      <c r="J42" s="37"/>
      <c r="K42" s="37"/>
      <c r="L42" s="37"/>
      <c r="M42" s="37"/>
    </row>
    <row r="43" spans="1:13" x14ac:dyDescent="0.2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</row>
    <row r="44" spans="1:13" x14ac:dyDescent="0.2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</row>
    <row r="45" spans="1:13" x14ac:dyDescent="0.2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</row>
    <row r="46" spans="1:13" x14ac:dyDescent="0.2">
      <c r="A46" s="39" t="s">
        <v>104</v>
      </c>
      <c r="B46" s="40"/>
      <c r="C46" s="40"/>
      <c r="D46" s="40"/>
      <c r="E46" s="40"/>
      <c r="F46" s="40"/>
      <c r="G46" s="40"/>
      <c r="H46" s="40"/>
      <c r="I46" s="37"/>
      <c r="J46" s="37"/>
      <c r="K46" s="37"/>
      <c r="L46" s="37"/>
      <c r="M46" s="37"/>
    </row>
    <row r="47" spans="1:13" x14ac:dyDescent="0.2">
      <c r="A47" s="6" t="s">
        <v>105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</row>
    <row r="48" spans="1:13" x14ac:dyDescent="0.2">
      <c r="A48" s="73">
        <f>(Assumptions!$B$5*J4+Assumptions!$B$5*Assumptions!$B$8)/J13</f>
        <v>0.1275</v>
      </c>
      <c r="B48" s="74">
        <v>350000</v>
      </c>
      <c r="C48" s="74">
        <v>400000</v>
      </c>
      <c r="D48" s="74">
        <v>450000</v>
      </c>
      <c r="E48" s="74">
        <v>500000</v>
      </c>
      <c r="F48" s="74">
        <v>550000</v>
      </c>
      <c r="G48" s="37"/>
      <c r="H48" s="37"/>
      <c r="I48" s="37"/>
      <c r="J48" s="37"/>
      <c r="K48" s="37"/>
      <c r="L48" s="37"/>
      <c r="M48" s="37"/>
    </row>
    <row r="49" spans="1:13" x14ac:dyDescent="0.2">
      <c r="A49" s="75">
        <v>29</v>
      </c>
      <c r="B49" s="13">
        <f t="dataTable" ref="B49:F55" dt2D="1" dtr="1" r1="J13" r2="J4"/>
        <v>0.15107142857142858</v>
      </c>
      <c r="C49" s="13">
        <v>0.13218750000000001</v>
      </c>
      <c r="D49" s="13">
        <v>0.11749999999999999</v>
      </c>
      <c r="E49" s="13">
        <v>0.10575</v>
      </c>
      <c r="F49" s="13">
        <v>9.6136363636363631E-2</v>
      </c>
      <c r="G49" s="37"/>
      <c r="H49" s="37"/>
      <c r="I49" s="62"/>
      <c r="J49" s="62"/>
      <c r="K49" s="62"/>
      <c r="L49" s="62"/>
      <c r="M49" s="62"/>
    </row>
    <row r="50" spans="1:13" x14ac:dyDescent="0.2">
      <c r="A50" s="76">
        <v>30</v>
      </c>
      <c r="B50" s="13">
        <v>0.15535714285714286</v>
      </c>
      <c r="C50" s="13">
        <v>0.13593749999999999</v>
      </c>
      <c r="D50" s="13">
        <v>0.12083333333333333</v>
      </c>
      <c r="E50" s="13">
        <v>0.10875</v>
      </c>
      <c r="F50" s="13">
        <v>9.8863636363636362E-2</v>
      </c>
      <c r="G50" s="37"/>
      <c r="H50" s="37"/>
      <c r="I50" s="37"/>
      <c r="J50" s="37"/>
      <c r="K50" s="37"/>
      <c r="L50" s="37"/>
      <c r="M50" s="37"/>
    </row>
    <row r="51" spans="1:13" ht="17" customHeight="1" x14ac:dyDescent="0.2">
      <c r="A51" s="76">
        <v>31</v>
      </c>
      <c r="B51" s="13">
        <v>0.15964285714285714</v>
      </c>
      <c r="C51" s="13">
        <v>0.13968749999999999</v>
      </c>
      <c r="D51" s="13">
        <v>0.12416666666666666</v>
      </c>
      <c r="E51" s="13">
        <v>0.11175</v>
      </c>
      <c r="F51" s="13">
        <v>0.10159090909090909</v>
      </c>
      <c r="G51" s="37"/>
      <c r="H51" s="37"/>
      <c r="I51" s="37"/>
      <c r="J51" s="37"/>
      <c r="K51" s="37"/>
      <c r="L51" s="37"/>
      <c r="M51" s="37"/>
    </row>
    <row r="52" spans="1:13" ht="17" customHeight="1" x14ac:dyDescent="0.2">
      <c r="A52" s="76">
        <v>32</v>
      </c>
      <c r="B52" s="13">
        <v>0.16392857142857142</v>
      </c>
      <c r="C52" s="13">
        <v>0.1434375</v>
      </c>
      <c r="D52" s="77">
        <v>0.1275</v>
      </c>
      <c r="E52" s="13">
        <v>0.11475</v>
      </c>
      <c r="F52" s="13">
        <v>0.10431818181818182</v>
      </c>
      <c r="G52" s="37"/>
      <c r="H52" s="37"/>
      <c r="I52" s="37"/>
      <c r="J52" s="37"/>
      <c r="K52" s="37"/>
      <c r="L52" s="37"/>
      <c r="M52" s="37"/>
    </row>
    <row r="53" spans="1:13" x14ac:dyDescent="0.2">
      <c r="A53" s="76">
        <v>33</v>
      </c>
      <c r="B53" s="13">
        <v>0.16821428571428571</v>
      </c>
      <c r="C53" s="13">
        <v>0.1471875</v>
      </c>
      <c r="D53" s="13">
        <v>0.13083333333333333</v>
      </c>
      <c r="E53" s="13">
        <v>0.11774999999999999</v>
      </c>
      <c r="F53" s="13">
        <v>0.10704545454545454</v>
      </c>
      <c r="G53" s="37"/>
      <c r="H53" s="37"/>
      <c r="I53" s="37"/>
      <c r="J53" s="37"/>
      <c r="K53" s="37"/>
      <c r="L53" s="37"/>
      <c r="M53" s="37"/>
    </row>
    <row r="54" spans="1:13" x14ac:dyDescent="0.2">
      <c r="A54" s="76">
        <v>34</v>
      </c>
      <c r="B54" s="13">
        <v>0.17249999999999999</v>
      </c>
      <c r="C54" s="13">
        <v>0.1509375</v>
      </c>
      <c r="D54" s="13">
        <v>0.13416666666666666</v>
      </c>
      <c r="E54" s="13">
        <v>0.12075</v>
      </c>
      <c r="F54" s="13">
        <v>0.10977272727272727</v>
      </c>
      <c r="G54" s="37"/>
      <c r="H54" s="37"/>
      <c r="I54" s="37"/>
      <c r="J54" s="37"/>
      <c r="K54" s="37"/>
      <c r="L54" s="37"/>
      <c r="M54" s="37"/>
    </row>
    <row r="55" spans="1:13" x14ac:dyDescent="0.2">
      <c r="A55" s="76">
        <v>35</v>
      </c>
      <c r="B55" s="13">
        <v>0.1767857142857143</v>
      </c>
      <c r="C55" s="13">
        <v>0.15468750000000001</v>
      </c>
      <c r="D55" s="13">
        <v>0.13750000000000001</v>
      </c>
      <c r="E55" s="13">
        <v>0.12375</v>
      </c>
      <c r="F55" s="13">
        <v>0.1125</v>
      </c>
      <c r="G55" s="37"/>
      <c r="H55" s="37"/>
      <c r="I55" s="37"/>
      <c r="J55" s="37"/>
      <c r="K55" s="37"/>
      <c r="L55" s="37"/>
      <c r="M55" s="37"/>
    </row>
    <row r="56" spans="1:13" x14ac:dyDescent="0.2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</row>
    <row r="57" spans="1:13" x14ac:dyDescent="0.2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</row>
    <row r="58" spans="1:13" x14ac:dyDescent="0.2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</row>
    <row r="59" spans="1:13" x14ac:dyDescent="0.2">
      <c r="A59" s="39" t="s">
        <v>106</v>
      </c>
      <c r="B59" s="40"/>
      <c r="C59" s="40"/>
      <c r="D59" s="40"/>
      <c r="E59" s="40"/>
      <c r="F59" s="40"/>
      <c r="G59" s="40"/>
      <c r="H59" s="40"/>
      <c r="I59" s="37"/>
      <c r="J59" s="37"/>
      <c r="K59" s="37"/>
      <c r="L59" s="37"/>
      <c r="M59" s="37"/>
    </row>
    <row r="60" spans="1:13" x14ac:dyDescent="0.2">
      <c r="A60" s="6" t="s">
        <v>107</v>
      </c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</row>
    <row r="61" spans="1:13" ht="46" customHeight="1" x14ac:dyDescent="0.2">
      <c r="A61" s="14" t="s">
        <v>108</v>
      </c>
      <c r="B61" s="15" t="s">
        <v>109</v>
      </c>
      <c r="C61" s="15" t="s">
        <v>110</v>
      </c>
      <c r="D61" s="15" t="s">
        <v>111</v>
      </c>
      <c r="E61" s="15" t="s">
        <v>112</v>
      </c>
      <c r="F61" s="37"/>
      <c r="G61" s="37"/>
      <c r="H61" s="37"/>
      <c r="I61" s="37"/>
      <c r="J61" s="37"/>
      <c r="K61" s="37"/>
      <c r="L61" s="37"/>
      <c r="M61" s="37"/>
    </row>
    <row r="62" spans="1:13" x14ac:dyDescent="0.2">
      <c r="A62" s="17" t="s">
        <v>82</v>
      </c>
      <c r="B62" s="68">
        <f>Assumptions!$B$6</f>
        <v>32</v>
      </c>
      <c r="C62" s="24">
        <v>34</v>
      </c>
      <c r="D62" s="24">
        <v>30</v>
      </c>
      <c r="E62" s="68">
        <f>Assumptions!$B$24</f>
        <v>32</v>
      </c>
      <c r="F62" s="37"/>
      <c r="G62" s="37"/>
      <c r="H62" s="37"/>
      <c r="I62" s="37"/>
      <c r="J62" s="37"/>
      <c r="K62" s="37"/>
      <c r="L62" s="37"/>
      <c r="M62" s="37"/>
    </row>
    <row r="63" spans="1:13" x14ac:dyDescent="0.2">
      <c r="A63" s="17" t="s">
        <v>85</v>
      </c>
      <c r="B63" s="54">
        <f>Assumptions!$B$7</f>
        <v>0.03</v>
      </c>
      <c r="C63" s="69">
        <v>3.5000000000000003E-2</v>
      </c>
      <c r="D63" s="69">
        <v>2.5000000000000001E-2</v>
      </c>
      <c r="E63" s="69">
        <v>0.03</v>
      </c>
      <c r="F63" s="37"/>
      <c r="G63" s="37"/>
      <c r="H63" s="37"/>
      <c r="I63" s="37"/>
      <c r="J63" s="37"/>
      <c r="K63" s="37"/>
      <c r="L63" s="37"/>
      <c r="M63" s="37"/>
    </row>
    <row r="64" spans="1:13" x14ac:dyDescent="0.2">
      <c r="A64" s="17" t="s">
        <v>91</v>
      </c>
      <c r="B64" s="70">
        <f>Assumptions!$B$12</f>
        <v>1</v>
      </c>
      <c r="C64" s="71">
        <v>0</v>
      </c>
      <c r="D64" s="71">
        <v>2</v>
      </c>
      <c r="E64" s="71">
        <v>0</v>
      </c>
      <c r="F64" s="37"/>
      <c r="G64" s="37"/>
      <c r="H64" s="37"/>
      <c r="I64" s="37"/>
      <c r="J64" s="37"/>
      <c r="K64" s="37"/>
      <c r="L64" s="37"/>
      <c r="M64" s="37"/>
    </row>
    <row r="65" spans="1:13" x14ac:dyDescent="0.2">
      <c r="A65" s="17" t="s">
        <v>113</v>
      </c>
      <c r="B65" s="68">
        <f>Assumptions!$B$8</f>
        <v>6.25</v>
      </c>
      <c r="C65" s="24">
        <v>6.75</v>
      </c>
      <c r="D65" s="24">
        <v>6.25</v>
      </c>
      <c r="E65" s="24">
        <v>6.25</v>
      </c>
      <c r="F65" s="37"/>
      <c r="G65" s="37"/>
      <c r="H65" s="37"/>
      <c r="I65" s="37"/>
      <c r="J65" s="37"/>
      <c r="K65" s="37"/>
      <c r="L65" s="37"/>
      <c r="M65" s="37"/>
    </row>
    <row r="66" spans="1:13" x14ac:dyDescent="0.2">
      <c r="A66" s="17" t="s">
        <v>114</v>
      </c>
      <c r="B66" s="8">
        <f>Assumptions!$B$5*B62*IF(B63=0,Assumptions!$B$9,((1+B63)^Assumptions!$B$9-1)/B63)-Assumptions!$B$5*B62/12*B64</f>
        <v>144363.20000000001</v>
      </c>
      <c r="C66" s="8">
        <f>Assumptions!$B$5*C62*IF(C63=0,Assumptions!$B$9,((1+C63)^Assumptions!$B$9-1)/C63)-Assumptions!$B$5*C62/12*C64</f>
        <v>158417.4749999996</v>
      </c>
      <c r="D66" s="8">
        <f>Assumptions!$B$5*D62*IF(D63=0,Assumptions!$B$9,((1+D63)^Assumptions!$B$9-1)/D63)-Assumptions!$B$5*D62/12*D64</f>
        <v>130903.1249999998</v>
      </c>
      <c r="E66" s="8">
        <f>Assumptions!$B$5*E62*IF(E63=0,Assumptions!$B$9,((1+E63)^Assumptions!$B$9-1)/E63)-Assumptions!$B$5*E62/12*E64</f>
        <v>148363.20000000001</v>
      </c>
      <c r="F66" s="37"/>
      <c r="G66" s="37"/>
      <c r="H66" s="37"/>
      <c r="I66" s="37"/>
      <c r="J66" s="37"/>
      <c r="K66" s="37"/>
      <c r="L66" s="37"/>
      <c r="M66" s="37"/>
    </row>
    <row r="67" spans="1:13" x14ac:dyDescent="0.2">
      <c r="A67" s="17" t="s">
        <v>115</v>
      </c>
      <c r="B67" s="8">
        <f>Assumptions!$B$5*B65*IF(Assumptions!$B$20=0,Assumptions!$B$9,((1+Assumptions!$B$20)^Assumptions!$B$9-1)/Assumptions!$B$20)</f>
        <v>28977.187500000004</v>
      </c>
      <c r="C67" s="8">
        <f>Assumptions!$B$5*C65*IF(Assumptions!$B$20=0,Assumptions!$B$9,((1+Assumptions!$B$20)^Assumptions!$B$9-1)/Assumptions!$B$20)</f>
        <v>31295.362500000003</v>
      </c>
      <c r="D67" s="8">
        <f>Assumptions!$B$5*D65*IF(Assumptions!$B$20=0,Assumptions!$B$9,((1+Assumptions!$B$20)^Assumptions!$B$9-1)/Assumptions!$B$20)</f>
        <v>28977.187500000004</v>
      </c>
      <c r="E67" s="8">
        <f>Assumptions!$B$5*E65*IF(Assumptions!$B$20=0,Assumptions!$B$9,((1+Assumptions!$B$20)^Assumptions!$B$9-1)/Assumptions!$B$20)</f>
        <v>28977.187500000004</v>
      </c>
      <c r="F67" s="37"/>
      <c r="G67" s="37"/>
      <c r="H67" s="37"/>
      <c r="I67" s="37"/>
      <c r="J67" s="37"/>
      <c r="K67" s="37"/>
      <c r="L67" s="37"/>
      <c r="M67" s="37"/>
    </row>
    <row r="68" spans="1:13" x14ac:dyDescent="0.2">
      <c r="A68" s="10" t="s">
        <v>116</v>
      </c>
      <c r="B68" s="11">
        <f>B66+B67</f>
        <v>173340.38750000001</v>
      </c>
      <c r="C68" s="11">
        <f>C66+C67</f>
        <v>189712.83749999962</v>
      </c>
      <c r="D68" s="11">
        <f>D66+D67</f>
        <v>159880.3124999998</v>
      </c>
      <c r="E68" s="11">
        <f>E66+E67</f>
        <v>177340.38750000001</v>
      </c>
      <c r="F68" s="37"/>
      <c r="G68" s="37"/>
      <c r="H68" s="37"/>
      <c r="I68" s="37"/>
      <c r="J68" s="37"/>
      <c r="K68" s="37"/>
      <c r="L68" s="37"/>
      <c r="M68" s="37"/>
    </row>
    <row r="69" spans="1:13" x14ac:dyDescent="0.2">
      <c r="A69" s="17" t="s">
        <v>117</v>
      </c>
      <c r="B69" s="9">
        <f>B66/(Assumptions!$B$9*Assumptions!$B$5)</f>
        <v>32.080711111111114</v>
      </c>
      <c r="C69" s="9">
        <f>C66/(Assumptions!$B$9*Assumptions!$B$5)</f>
        <v>35.203883333333245</v>
      </c>
      <c r="D69" s="9">
        <f>D66/(Assumptions!$B$9*Assumptions!$B$5)</f>
        <v>29.089583333333287</v>
      </c>
      <c r="E69" s="9">
        <f>E66/(Assumptions!$B$9*Assumptions!$B$5)</f>
        <v>32.9696</v>
      </c>
      <c r="F69" s="37"/>
      <c r="G69" s="37"/>
      <c r="H69" s="37"/>
      <c r="I69" s="37"/>
      <c r="J69" s="37"/>
      <c r="K69" s="37"/>
      <c r="L69" s="37"/>
      <c r="M69" s="37"/>
    </row>
    <row r="70" spans="1:13" x14ac:dyDescent="0.2">
      <c r="A70" s="10" t="s">
        <v>96</v>
      </c>
      <c r="B70" s="72">
        <f>B68/(Assumptions!$B$9*Assumptions!$B$5)</f>
        <v>38.520086111111112</v>
      </c>
      <c r="C70" s="72">
        <f>C68/(Assumptions!$B$9*Assumptions!$B$5)</f>
        <v>42.158408333333249</v>
      </c>
      <c r="D70" s="72">
        <f>D68/(Assumptions!$B$9*Assumptions!$B$5)</f>
        <v>35.528958333333286</v>
      </c>
      <c r="E70" s="72">
        <f>E68/(Assumptions!$B$9*Assumptions!$B$5)</f>
        <v>39.408975000000005</v>
      </c>
      <c r="F70" s="37"/>
      <c r="G70" s="37"/>
      <c r="H70" s="37"/>
      <c r="I70" s="37"/>
      <c r="J70" s="37"/>
      <c r="K70" s="37"/>
      <c r="L70" s="37"/>
      <c r="M70" s="37"/>
    </row>
    <row r="71" spans="1:13" x14ac:dyDescent="0.2">
      <c r="A71" s="17" t="s">
        <v>118</v>
      </c>
      <c r="B71" s="13">
        <f>(B69/Assumptions!$B$24)-1</f>
        <v>2.5222222222223145E-3</v>
      </c>
      <c r="C71" s="13">
        <f>(C69/Assumptions!$B$24)-1</f>
        <v>0.1001213541666639</v>
      </c>
      <c r="D71" s="13">
        <f>(D69/Assumptions!$B$24)-1</f>
        <v>-9.0950520833334769E-2</v>
      </c>
      <c r="E71" s="13">
        <f>(E69/Assumptions!$B$24)-1</f>
        <v>3.0299999999999994E-2</v>
      </c>
      <c r="F71" s="37"/>
      <c r="G71" s="37"/>
      <c r="H71" s="37"/>
      <c r="I71" s="37"/>
      <c r="J71" s="37"/>
      <c r="K71" s="37"/>
      <c r="L71" s="37"/>
      <c r="M71" s="37"/>
    </row>
    <row r="72" spans="1:13" x14ac:dyDescent="0.2">
      <c r="A72" s="17" t="s">
        <v>119</v>
      </c>
      <c r="B72" s="8">
        <f>B68-$B68</f>
        <v>0</v>
      </c>
      <c r="C72" s="8">
        <f>C68-$B68</f>
        <v>16372.449999999604</v>
      </c>
      <c r="D72" s="8">
        <f>D68-$B68</f>
        <v>-13460.075000000215</v>
      </c>
      <c r="E72" s="8">
        <f>E68-$B68</f>
        <v>4000</v>
      </c>
      <c r="F72" s="37"/>
      <c r="G72" s="37"/>
      <c r="H72" s="37"/>
      <c r="I72" s="37"/>
      <c r="J72" s="37"/>
      <c r="K72" s="37"/>
      <c r="L72" s="37"/>
      <c r="M72" s="37"/>
    </row>
  </sheetData>
  <conditionalFormatting sqref="B12:F18">
    <cfRule type="colorScale" priority="2">
      <colorScale>
        <cfvo type="min"/>
        <cfvo type="percentile" val="50"/>
        <cfvo type="max"/>
        <color theme="4" tint="0.79998168889431442"/>
        <color rgb="FFFFFFFF"/>
        <color theme="4" tint="-0.499984740745262"/>
      </colorScale>
    </cfRule>
  </conditionalFormatting>
  <conditionalFormatting sqref="B25:F31">
    <cfRule type="colorScale" priority="3">
      <colorScale>
        <cfvo type="min"/>
        <cfvo type="percentile" val="50"/>
        <cfvo type="max"/>
        <color theme="4" tint="0.79998168889431442"/>
        <color rgb="FFFFFFFF"/>
        <color theme="4" tint="-0.499984740745262"/>
      </colorScale>
    </cfRule>
  </conditionalFormatting>
  <conditionalFormatting sqref="B49:F55">
    <cfRule type="colorScale" priority="5">
      <colorScale>
        <cfvo type="min"/>
        <cfvo type="percentile" val="50"/>
        <cfvo type="max"/>
        <color theme="4" tint="0.79998168889431442"/>
        <color rgb="FFFFFFFF"/>
        <color theme="4" tint="-0.499984740745262"/>
      </colorScale>
    </cfRule>
  </conditionalFormatting>
  <conditionalFormatting sqref="B38:G42">
    <cfRule type="colorScale" priority="4">
      <colorScale>
        <cfvo type="min"/>
        <cfvo type="percentile" val="50"/>
        <cfvo type="max"/>
        <color theme="4" tint="0.79998168889431442"/>
        <color rgb="FFFFFFFF"/>
        <color theme="4" tint="-0.499984740745262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K116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10" defaultRowHeight="16" x14ac:dyDescent="0.2"/>
  <cols>
    <col min="1" max="1" width="9" style="16" customWidth="1"/>
    <col min="2" max="2" width="9" customWidth="1"/>
    <col min="3" max="4" width="11" customWidth="1"/>
    <col min="5" max="5" width="16" customWidth="1"/>
    <col min="6" max="8" width="14" customWidth="1"/>
    <col min="9" max="9" width="17" customWidth="1"/>
    <col min="10" max="11" width="13" customWidth="1"/>
  </cols>
  <sheetData>
    <row r="1" spans="1:11" x14ac:dyDescent="0.2">
      <c r="A1" s="63" t="s">
        <v>120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46" customHeight="1" x14ac:dyDescent="0.2">
      <c r="A2" s="64" t="s">
        <v>121</v>
      </c>
      <c r="B2" s="64" t="s">
        <v>122</v>
      </c>
      <c r="C2" s="64" t="s">
        <v>48</v>
      </c>
      <c r="D2" s="64" t="s">
        <v>123</v>
      </c>
      <c r="E2" s="64" t="s">
        <v>124</v>
      </c>
      <c r="F2" s="64" t="s">
        <v>125</v>
      </c>
      <c r="G2" s="64" t="s">
        <v>126</v>
      </c>
      <c r="H2" s="64" t="s">
        <v>127</v>
      </c>
      <c r="I2" s="64" t="s">
        <v>128</v>
      </c>
      <c r="J2" s="64" t="s">
        <v>129</v>
      </c>
      <c r="K2" s="64" t="s">
        <v>130</v>
      </c>
    </row>
    <row r="3" spans="1:11" x14ac:dyDescent="0.2">
      <c r="A3" s="7">
        <f>1</f>
        <v>1</v>
      </c>
      <c r="B3" s="7">
        <f t="shared" ref="B3:B34" si="0">ROUNDUP(A3/12,0)</f>
        <v>1</v>
      </c>
      <c r="C3" s="19" t="str">
        <f>IF(B3&lt;=Assumptions!$B$9,"Initial",IF(B3&lt;=Assumptions!$B$9+Assumptions!$B$11,"Option 1","Option 2"))</f>
        <v>Initial</v>
      </c>
      <c r="D3" s="65">
        <f>IF(A3&lt;=Assumptions!$B$28,1,0)</f>
        <v>1</v>
      </c>
      <c r="E3" s="9">
        <f>Assumptions!$B$6*(1+Assumptions!$B$7)^IF(B3&lt;=Assumptions!$B$9,B3-1,Assumptions!$B$9-1+Assumptions!$B$21*(B3-Assumptions!$B$9))</f>
        <v>32</v>
      </c>
      <c r="F3" s="66">
        <f>E3*Assumptions!$B$5/12*D3</f>
        <v>4000</v>
      </c>
      <c r="G3" s="8">
        <f>-IF(A3&lt;=Assumptions!$B$12,F3,0)</f>
        <v>-4000</v>
      </c>
      <c r="H3" s="8">
        <f>Assumptions!$B$8*(1+Assumptions!$B$20)^(B3-1)*Assumptions!$B$5/12*D3</f>
        <v>781.25</v>
      </c>
      <c r="I3" s="8">
        <f t="shared" ref="I3:I34" si="1">F3+G3+H3</f>
        <v>781.25</v>
      </c>
      <c r="J3" s="20">
        <f>1/(1+Assumptions!$B$23/12)^A3</f>
        <v>0.99337748344370869</v>
      </c>
      <c r="K3" s="8">
        <f t="shared" ref="K3:K34" si="2">I3*J3</f>
        <v>776.07615894039736</v>
      </c>
    </row>
    <row r="4" spans="1:11" x14ac:dyDescent="0.2">
      <c r="A4" s="7">
        <v>2</v>
      </c>
      <c r="B4" s="7">
        <f t="shared" si="0"/>
        <v>1</v>
      </c>
      <c r="C4" s="19" t="str">
        <f>IF(B4&lt;=Assumptions!$B$9,"Initial",IF(B4&lt;=Assumptions!$B$9+Assumptions!$B$11,"Option 1","Option 2"))</f>
        <v>Initial</v>
      </c>
      <c r="D4" s="65">
        <f>IF(A4&lt;=Assumptions!$B$28,1,0)</f>
        <v>1</v>
      </c>
      <c r="E4" s="9">
        <f>Assumptions!$B$6*(1+Assumptions!$B$7)^IF(B4&lt;=Assumptions!$B$9,B4-1,Assumptions!$B$9-1+Assumptions!$B$21*(B4-Assumptions!$B$9))</f>
        <v>32</v>
      </c>
      <c r="F4" s="66">
        <f>E4*Assumptions!$B$5/12*D4</f>
        <v>4000</v>
      </c>
      <c r="G4" s="8">
        <f>-IF(A4&lt;=Assumptions!$B$12,F4,0)</f>
        <v>0</v>
      </c>
      <c r="H4" s="8">
        <f>Assumptions!$B$8*(1+Assumptions!$B$20)^(B4-1)*Assumptions!$B$5/12*D4</f>
        <v>781.25</v>
      </c>
      <c r="I4" s="8">
        <f t="shared" si="1"/>
        <v>4781.25</v>
      </c>
      <c r="J4" s="20">
        <f>1/(1+Assumptions!$B$23/12)^A4</f>
        <v>0.98679882461295565</v>
      </c>
      <c r="K4" s="8">
        <f t="shared" si="2"/>
        <v>4718.1318801806938</v>
      </c>
    </row>
    <row r="5" spans="1:11" x14ac:dyDescent="0.2">
      <c r="A5" s="7">
        <v>3</v>
      </c>
      <c r="B5" s="7">
        <f t="shared" si="0"/>
        <v>1</v>
      </c>
      <c r="C5" s="19" t="str">
        <f>IF(B5&lt;=Assumptions!$B$9,"Initial",IF(B5&lt;=Assumptions!$B$9+Assumptions!$B$11,"Option 1","Option 2"))</f>
        <v>Initial</v>
      </c>
      <c r="D5" s="65">
        <f>IF(A5&lt;=Assumptions!$B$28,1,0)</f>
        <v>1</v>
      </c>
      <c r="E5" s="9">
        <f>Assumptions!$B$6*(1+Assumptions!$B$7)^IF(B5&lt;=Assumptions!$B$9,B5-1,Assumptions!$B$9-1+Assumptions!$B$21*(B5-Assumptions!$B$9))</f>
        <v>32</v>
      </c>
      <c r="F5" s="66">
        <f>E5*Assumptions!$B$5/12*D5</f>
        <v>4000</v>
      </c>
      <c r="G5" s="8">
        <f>-IF(A5&lt;=Assumptions!$B$12,F5,0)</f>
        <v>0</v>
      </c>
      <c r="H5" s="8">
        <f>Assumptions!$B$8*(1+Assumptions!$B$20)^(B5-1)*Assumptions!$B$5/12*D5</f>
        <v>781.25</v>
      </c>
      <c r="I5" s="8">
        <f t="shared" si="1"/>
        <v>4781.25</v>
      </c>
      <c r="J5" s="20">
        <f>1/(1+Assumptions!$B$23/12)^A5</f>
        <v>0.98026373305922754</v>
      </c>
      <c r="K5" s="8">
        <f t="shared" si="2"/>
        <v>4686.8859736894319</v>
      </c>
    </row>
    <row r="6" spans="1:11" x14ac:dyDescent="0.2">
      <c r="A6" s="7">
        <v>4</v>
      </c>
      <c r="B6" s="7">
        <f t="shared" si="0"/>
        <v>1</v>
      </c>
      <c r="C6" s="19" t="str">
        <f>IF(B6&lt;=Assumptions!$B$9,"Initial",IF(B6&lt;=Assumptions!$B$9+Assumptions!$B$11,"Option 1","Option 2"))</f>
        <v>Initial</v>
      </c>
      <c r="D6" s="65">
        <f>IF(A6&lt;=Assumptions!$B$28,1,0)</f>
        <v>1</v>
      </c>
      <c r="E6" s="9">
        <f>Assumptions!$B$6*(1+Assumptions!$B$7)^IF(B6&lt;=Assumptions!$B$9,B6-1,Assumptions!$B$9-1+Assumptions!$B$21*(B6-Assumptions!$B$9))</f>
        <v>32</v>
      </c>
      <c r="F6" s="66">
        <f>E6*Assumptions!$B$5/12*D6</f>
        <v>4000</v>
      </c>
      <c r="G6" s="8">
        <f>-IF(A6&lt;=Assumptions!$B$12,F6,0)</f>
        <v>0</v>
      </c>
      <c r="H6" s="8">
        <f>Assumptions!$B$8*(1+Assumptions!$B$20)^(B6-1)*Assumptions!$B$5/12*D6</f>
        <v>781.25</v>
      </c>
      <c r="I6" s="8">
        <f t="shared" si="1"/>
        <v>4781.25</v>
      </c>
      <c r="J6" s="20">
        <f>1/(1+Assumptions!$B$23/12)^A6</f>
        <v>0.97377192025751091</v>
      </c>
      <c r="K6" s="8">
        <f t="shared" si="2"/>
        <v>4655.8469937312238</v>
      </c>
    </row>
    <row r="7" spans="1:11" x14ac:dyDescent="0.2">
      <c r="A7" s="7">
        <v>5</v>
      </c>
      <c r="B7" s="7">
        <f t="shared" si="0"/>
        <v>1</v>
      </c>
      <c r="C7" s="19" t="str">
        <f>IF(B7&lt;=Assumptions!$B$9,"Initial",IF(B7&lt;=Assumptions!$B$9+Assumptions!$B$11,"Option 1","Option 2"))</f>
        <v>Initial</v>
      </c>
      <c r="D7" s="65">
        <f>IF(A7&lt;=Assumptions!$B$28,1,0)</f>
        <v>1</v>
      </c>
      <c r="E7" s="9">
        <f>Assumptions!$B$6*(1+Assumptions!$B$7)^IF(B7&lt;=Assumptions!$B$9,B7-1,Assumptions!$B$9-1+Assumptions!$B$21*(B7-Assumptions!$B$9))</f>
        <v>32</v>
      </c>
      <c r="F7" s="66">
        <f>E7*Assumptions!$B$5/12*D7</f>
        <v>4000</v>
      </c>
      <c r="G7" s="8">
        <f>-IF(A7&lt;=Assumptions!$B$12,F7,0)</f>
        <v>0</v>
      </c>
      <c r="H7" s="8">
        <f>Assumptions!$B$8*(1+Assumptions!$B$20)^(B7-1)*Assumptions!$B$5/12*D7</f>
        <v>781.25</v>
      </c>
      <c r="I7" s="8">
        <f t="shared" si="1"/>
        <v>4781.25</v>
      </c>
      <c r="J7" s="20">
        <f>1/(1+Assumptions!$B$23/12)^A7</f>
        <v>0.96732309959355389</v>
      </c>
      <c r="K7" s="8">
        <f t="shared" si="2"/>
        <v>4625.0135699316797</v>
      </c>
    </row>
    <row r="8" spans="1:11" x14ac:dyDescent="0.2">
      <c r="A8" s="7">
        <v>6</v>
      </c>
      <c r="B8" s="7">
        <f t="shared" si="0"/>
        <v>1</v>
      </c>
      <c r="C8" s="19" t="str">
        <f>IF(B8&lt;=Assumptions!$B$9,"Initial",IF(B8&lt;=Assumptions!$B$9+Assumptions!$B$11,"Option 1","Option 2"))</f>
        <v>Initial</v>
      </c>
      <c r="D8" s="65">
        <f>IF(A8&lt;=Assumptions!$B$28,1,0)</f>
        <v>1</v>
      </c>
      <c r="E8" s="9">
        <f>Assumptions!$B$6*(1+Assumptions!$B$7)^IF(B8&lt;=Assumptions!$B$9,B8-1,Assumptions!$B$9-1+Assumptions!$B$21*(B8-Assumptions!$B$9))</f>
        <v>32</v>
      </c>
      <c r="F8" s="66">
        <f>E8*Assumptions!$B$5/12*D8</f>
        <v>4000</v>
      </c>
      <c r="G8" s="8">
        <f>-IF(A8&lt;=Assumptions!$B$12,F8,0)</f>
        <v>0</v>
      </c>
      <c r="H8" s="8">
        <f>Assumptions!$B$8*(1+Assumptions!$B$20)^(B8-1)*Assumptions!$B$5/12*D8</f>
        <v>781.25</v>
      </c>
      <c r="I8" s="8">
        <f t="shared" si="1"/>
        <v>4781.25</v>
      </c>
      <c r="J8" s="20">
        <f>1/(1+Assumptions!$B$23/12)^A8</f>
        <v>0.96091698635121248</v>
      </c>
      <c r="K8" s="8">
        <f t="shared" si="2"/>
        <v>4594.3843409917345</v>
      </c>
    </row>
    <row r="9" spans="1:11" x14ac:dyDescent="0.2">
      <c r="A9" s="7">
        <v>7</v>
      </c>
      <c r="B9" s="7">
        <f t="shared" si="0"/>
        <v>1</v>
      </c>
      <c r="C9" s="19" t="str">
        <f>IF(B9&lt;=Assumptions!$B$9,"Initial",IF(B9&lt;=Assumptions!$B$9+Assumptions!$B$11,"Option 1","Option 2"))</f>
        <v>Initial</v>
      </c>
      <c r="D9" s="65">
        <f>IF(A9&lt;=Assumptions!$B$28,1,0)</f>
        <v>1</v>
      </c>
      <c r="E9" s="9">
        <f>Assumptions!$B$6*(1+Assumptions!$B$7)^IF(B9&lt;=Assumptions!$B$9,B9-1,Assumptions!$B$9-1+Assumptions!$B$21*(B9-Assumptions!$B$9))</f>
        <v>32</v>
      </c>
      <c r="F9" s="66">
        <f>E9*Assumptions!$B$5/12*D9</f>
        <v>4000</v>
      </c>
      <c r="G9" s="8">
        <f>-IF(A9&lt;=Assumptions!$B$12,F9,0)</f>
        <v>0</v>
      </c>
      <c r="H9" s="8">
        <f>Assumptions!$B$8*(1+Assumptions!$B$20)^(B9-1)*Assumptions!$B$5/12*D9</f>
        <v>781.25</v>
      </c>
      <c r="I9" s="8">
        <f t="shared" si="1"/>
        <v>4781.25</v>
      </c>
      <c r="J9" s="20">
        <f>1/(1+Assumptions!$B$23/12)^A9</f>
        <v>0.95455329769988007</v>
      </c>
      <c r="K9" s="8">
        <f t="shared" si="2"/>
        <v>4563.9579546275518</v>
      </c>
    </row>
    <row r="10" spans="1:11" x14ac:dyDescent="0.2">
      <c r="A10" s="7">
        <v>8</v>
      </c>
      <c r="B10" s="7">
        <f t="shared" si="0"/>
        <v>1</v>
      </c>
      <c r="C10" s="19" t="str">
        <f>IF(B10&lt;=Assumptions!$B$9,"Initial",IF(B10&lt;=Assumptions!$B$9+Assumptions!$B$11,"Option 1","Option 2"))</f>
        <v>Initial</v>
      </c>
      <c r="D10" s="65">
        <f>IF(A10&lt;=Assumptions!$B$28,1,0)</f>
        <v>1</v>
      </c>
      <c r="E10" s="9">
        <f>Assumptions!$B$6*(1+Assumptions!$B$7)^IF(B10&lt;=Assumptions!$B$9,B10-1,Assumptions!$B$9-1+Assumptions!$B$21*(B10-Assumptions!$B$9))</f>
        <v>32</v>
      </c>
      <c r="F10" s="66">
        <f>E10*Assumptions!$B$5/12*D10</f>
        <v>4000</v>
      </c>
      <c r="G10" s="8">
        <f>-IF(A10&lt;=Assumptions!$B$12,F10,0)</f>
        <v>0</v>
      </c>
      <c r="H10" s="8">
        <f>Assumptions!$B$8*(1+Assumptions!$B$20)^(B10-1)*Assumptions!$B$5/12*D10</f>
        <v>781.25</v>
      </c>
      <c r="I10" s="8">
        <f t="shared" si="1"/>
        <v>4781.25</v>
      </c>
      <c r="J10" s="20">
        <f>1/(1+Assumptions!$B$23/12)^A10</f>
        <v>0.94823175268200011</v>
      </c>
      <c r="K10" s="8">
        <f t="shared" si="2"/>
        <v>4533.7330675108133</v>
      </c>
    </row>
    <row r="11" spans="1:11" x14ac:dyDescent="0.2">
      <c r="A11" s="7">
        <v>9</v>
      </c>
      <c r="B11" s="7">
        <f t="shared" si="0"/>
        <v>1</v>
      </c>
      <c r="C11" s="19" t="str">
        <f>IF(B11&lt;=Assumptions!$B$9,"Initial",IF(B11&lt;=Assumptions!$B$9+Assumptions!$B$11,"Option 1","Option 2"))</f>
        <v>Initial</v>
      </c>
      <c r="D11" s="65">
        <f>IF(A11&lt;=Assumptions!$B$28,1,0)</f>
        <v>1</v>
      </c>
      <c r="E11" s="9">
        <f>Assumptions!$B$6*(1+Assumptions!$B$7)^IF(B11&lt;=Assumptions!$B$9,B11-1,Assumptions!$B$9-1+Assumptions!$B$21*(B11-Assumptions!$B$9))</f>
        <v>32</v>
      </c>
      <c r="F11" s="66">
        <f>E11*Assumptions!$B$5/12*D11</f>
        <v>4000</v>
      </c>
      <c r="G11" s="8">
        <f>-IF(A11&lt;=Assumptions!$B$12,F11,0)</f>
        <v>0</v>
      </c>
      <c r="H11" s="8">
        <f>Assumptions!$B$8*(1+Assumptions!$B$20)^(B11-1)*Assumptions!$B$5/12*D11</f>
        <v>781.25</v>
      </c>
      <c r="I11" s="8">
        <f t="shared" si="1"/>
        <v>4781.25</v>
      </c>
      <c r="J11" s="20">
        <f>1/(1+Assumptions!$B$23/12)^A11</f>
        <v>0.94195207220066246</v>
      </c>
      <c r="K11" s="8">
        <f t="shared" si="2"/>
        <v>4503.7083452094175</v>
      </c>
    </row>
    <row r="12" spans="1:11" x14ac:dyDescent="0.2">
      <c r="A12" s="7">
        <v>10</v>
      </c>
      <c r="B12" s="7">
        <f t="shared" si="0"/>
        <v>1</v>
      </c>
      <c r="C12" s="19" t="str">
        <f>IF(B12&lt;=Assumptions!$B$9,"Initial",IF(B12&lt;=Assumptions!$B$9+Assumptions!$B$11,"Option 1","Option 2"))</f>
        <v>Initial</v>
      </c>
      <c r="D12" s="65">
        <f>IF(A12&lt;=Assumptions!$B$28,1,0)</f>
        <v>1</v>
      </c>
      <c r="E12" s="9">
        <f>Assumptions!$B$6*(1+Assumptions!$B$7)^IF(B12&lt;=Assumptions!$B$9,B12-1,Assumptions!$B$9-1+Assumptions!$B$21*(B12-Assumptions!$B$9))</f>
        <v>32</v>
      </c>
      <c r="F12" s="66">
        <f>E12*Assumptions!$B$5/12*D12</f>
        <v>4000</v>
      </c>
      <c r="G12" s="8">
        <f>-IF(A12&lt;=Assumptions!$B$12,F12,0)</f>
        <v>0</v>
      </c>
      <c r="H12" s="8">
        <f>Assumptions!$B$8*(1+Assumptions!$B$20)^(B12-1)*Assumptions!$B$5/12*D12</f>
        <v>781.25</v>
      </c>
      <c r="I12" s="8">
        <f t="shared" si="1"/>
        <v>4781.25</v>
      </c>
      <c r="J12" s="20">
        <f>1/(1+Assumptions!$B$23/12)^A12</f>
        <v>0.93571397900728059</v>
      </c>
      <c r="K12" s="8">
        <f t="shared" si="2"/>
        <v>4473.8824621285603</v>
      </c>
    </row>
    <row r="13" spans="1:11" x14ac:dyDescent="0.2">
      <c r="A13" s="7">
        <v>11</v>
      </c>
      <c r="B13" s="7">
        <f t="shared" si="0"/>
        <v>1</v>
      </c>
      <c r="C13" s="19" t="str">
        <f>IF(B13&lt;=Assumptions!$B$9,"Initial",IF(B13&lt;=Assumptions!$B$9+Assumptions!$B$11,"Option 1","Option 2"))</f>
        <v>Initial</v>
      </c>
      <c r="D13" s="65">
        <f>IF(A13&lt;=Assumptions!$B$28,1,0)</f>
        <v>1</v>
      </c>
      <c r="E13" s="9">
        <f>Assumptions!$B$6*(1+Assumptions!$B$7)^IF(B13&lt;=Assumptions!$B$9,B13-1,Assumptions!$B$9-1+Assumptions!$B$21*(B13-Assumptions!$B$9))</f>
        <v>32</v>
      </c>
      <c r="F13" s="66">
        <f>E13*Assumptions!$B$5/12*D13</f>
        <v>4000</v>
      </c>
      <c r="G13" s="8">
        <f>-IF(A13&lt;=Assumptions!$B$12,F13,0)</f>
        <v>0</v>
      </c>
      <c r="H13" s="8">
        <f>Assumptions!$B$8*(1+Assumptions!$B$20)^(B13-1)*Assumptions!$B$5/12*D13</f>
        <v>781.25</v>
      </c>
      <c r="I13" s="8">
        <f t="shared" si="1"/>
        <v>4781.25</v>
      </c>
      <c r="J13" s="20">
        <f>1/(1+Assumptions!$B$23/12)^A13</f>
        <v>0.92951719768935159</v>
      </c>
      <c r="K13" s="8">
        <f t="shared" si="2"/>
        <v>4444.2541014522121</v>
      </c>
    </row>
    <row r="14" spans="1:11" x14ac:dyDescent="0.2">
      <c r="A14" s="7">
        <v>12</v>
      </c>
      <c r="B14" s="7">
        <f t="shared" si="0"/>
        <v>1</v>
      </c>
      <c r="C14" s="19" t="str">
        <f>IF(B14&lt;=Assumptions!$B$9,"Initial",IF(B14&lt;=Assumptions!$B$9+Assumptions!$B$11,"Option 1","Option 2"))</f>
        <v>Initial</v>
      </c>
      <c r="D14" s="65">
        <f>IF(A14&lt;=Assumptions!$B$28,1,0)</f>
        <v>1</v>
      </c>
      <c r="E14" s="9">
        <f>Assumptions!$B$6*(1+Assumptions!$B$7)^IF(B14&lt;=Assumptions!$B$9,B14-1,Assumptions!$B$9-1+Assumptions!$B$21*(B14-Assumptions!$B$9))</f>
        <v>32</v>
      </c>
      <c r="F14" s="66">
        <f>E14*Assumptions!$B$5/12*D14</f>
        <v>4000</v>
      </c>
      <c r="G14" s="8">
        <f>-IF(A14&lt;=Assumptions!$B$12,F14,0)</f>
        <v>0</v>
      </c>
      <c r="H14" s="8">
        <f>Assumptions!$B$8*(1+Assumptions!$B$20)^(B14-1)*Assumptions!$B$5/12*D14</f>
        <v>781.25</v>
      </c>
      <c r="I14" s="8">
        <f t="shared" si="1"/>
        <v>4781.25</v>
      </c>
      <c r="J14" s="20">
        <f>1/(1+Assumptions!$B$23/12)^A14</f>
        <v>0.92336145465829644</v>
      </c>
      <c r="K14" s="8">
        <f t="shared" si="2"/>
        <v>4414.8219550849799</v>
      </c>
    </row>
    <row r="15" spans="1:11" x14ac:dyDescent="0.2">
      <c r="A15" s="7">
        <v>13</v>
      </c>
      <c r="B15" s="7">
        <f t="shared" si="0"/>
        <v>2</v>
      </c>
      <c r="C15" s="19" t="str">
        <f>IF(B15&lt;=Assumptions!$B$9,"Initial",IF(B15&lt;=Assumptions!$B$9+Assumptions!$B$11,"Option 1","Option 2"))</f>
        <v>Initial</v>
      </c>
      <c r="D15" s="65">
        <f>IF(A15&lt;=Assumptions!$B$28,1,0)</f>
        <v>1</v>
      </c>
      <c r="E15" s="9">
        <f>Assumptions!$B$6*(1+Assumptions!$B$7)^IF(B15&lt;=Assumptions!$B$9,B15-1,Assumptions!$B$9-1+Assumptions!$B$21*(B15-Assumptions!$B$9))</f>
        <v>32.96</v>
      </c>
      <c r="F15" s="66">
        <f>E15*Assumptions!$B$5/12*D15</f>
        <v>4120</v>
      </c>
      <c r="G15" s="8">
        <f>-IF(A15&lt;=Assumptions!$B$12,F15,0)</f>
        <v>0</v>
      </c>
      <c r="H15" s="8">
        <f>Assumptions!$B$8*(1+Assumptions!$B$20)^(B15-1)*Assumptions!$B$5/12*D15</f>
        <v>804.6875</v>
      </c>
      <c r="I15" s="8">
        <f t="shared" si="1"/>
        <v>4924.6875</v>
      </c>
      <c r="J15" s="20">
        <f>1/(1+Assumptions!$B$23/12)^A15</f>
        <v>0.91724647813738047</v>
      </c>
      <c r="K15" s="8">
        <f t="shared" si="2"/>
        <v>4517.1522653021811</v>
      </c>
    </row>
    <row r="16" spans="1:11" x14ac:dyDescent="0.2">
      <c r="A16" s="7">
        <v>14</v>
      </c>
      <c r="B16" s="7">
        <f t="shared" si="0"/>
        <v>2</v>
      </c>
      <c r="C16" s="19" t="str">
        <f>IF(B16&lt;=Assumptions!$B$9,"Initial",IF(B16&lt;=Assumptions!$B$9+Assumptions!$B$11,"Option 1","Option 2"))</f>
        <v>Initial</v>
      </c>
      <c r="D16" s="65">
        <f>IF(A16&lt;=Assumptions!$B$28,1,0)</f>
        <v>1</v>
      </c>
      <c r="E16" s="9">
        <f>Assumptions!$B$6*(1+Assumptions!$B$7)^IF(B16&lt;=Assumptions!$B$9,B16-1,Assumptions!$B$9-1+Assumptions!$B$21*(B16-Assumptions!$B$9))</f>
        <v>32.96</v>
      </c>
      <c r="F16" s="66">
        <f>E16*Assumptions!$B$5/12*D16</f>
        <v>4120</v>
      </c>
      <c r="G16" s="8">
        <f>-IF(A16&lt;=Assumptions!$B$12,F16,0)</f>
        <v>0</v>
      </c>
      <c r="H16" s="8">
        <f>Assumptions!$B$8*(1+Assumptions!$B$20)^(B16-1)*Assumptions!$B$5/12*D16</f>
        <v>804.6875</v>
      </c>
      <c r="I16" s="8">
        <f t="shared" si="1"/>
        <v>4924.6875</v>
      </c>
      <c r="J16" s="20">
        <f>1/(1+Assumptions!$B$23/12)^A16</f>
        <v>0.91117199814971583</v>
      </c>
      <c r="K16" s="8">
        <f t="shared" si="2"/>
        <v>4487.2373496379287</v>
      </c>
    </row>
    <row r="17" spans="1:11" x14ac:dyDescent="0.2">
      <c r="A17" s="7">
        <v>15</v>
      </c>
      <c r="B17" s="7">
        <f t="shared" si="0"/>
        <v>2</v>
      </c>
      <c r="C17" s="19" t="str">
        <f>IF(B17&lt;=Assumptions!$B$9,"Initial",IF(B17&lt;=Assumptions!$B$9+Assumptions!$B$11,"Option 1","Option 2"))</f>
        <v>Initial</v>
      </c>
      <c r="D17" s="65">
        <f>IF(A17&lt;=Assumptions!$B$28,1,0)</f>
        <v>1</v>
      </c>
      <c r="E17" s="9">
        <f>Assumptions!$B$6*(1+Assumptions!$B$7)^IF(B17&lt;=Assumptions!$B$9,B17-1,Assumptions!$B$9-1+Assumptions!$B$21*(B17-Assumptions!$B$9))</f>
        <v>32.96</v>
      </c>
      <c r="F17" s="66">
        <f>E17*Assumptions!$B$5/12*D17</f>
        <v>4120</v>
      </c>
      <c r="G17" s="8">
        <f>-IF(A17&lt;=Assumptions!$B$12,F17,0)</f>
        <v>0</v>
      </c>
      <c r="H17" s="8">
        <f>Assumptions!$B$8*(1+Assumptions!$B$20)^(B17-1)*Assumptions!$B$5/12*D17</f>
        <v>804.6875</v>
      </c>
      <c r="I17" s="8">
        <f t="shared" si="1"/>
        <v>4924.6875</v>
      </c>
      <c r="J17" s="20">
        <f>1/(1+Assumptions!$B$23/12)^A17</f>
        <v>0.90513774650634038</v>
      </c>
      <c r="K17" s="8">
        <f t="shared" si="2"/>
        <v>4457.5205459979434</v>
      </c>
    </row>
    <row r="18" spans="1:11" x14ac:dyDescent="0.2">
      <c r="A18" s="7">
        <v>16</v>
      </c>
      <c r="B18" s="7">
        <f t="shared" si="0"/>
        <v>2</v>
      </c>
      <c r="C18" s="19" t="str">
        <f>IF(B18&lt;=Assumptions!$B$9,"Initial",IF(B18&lt;=Assumptions!$B$9+Assumptions!$B$11,"Option 1","Option 2"))</f>
        <v>Initial</v>
      </c>
      <c r="D18" s="65">
        <f>IF(A18&lt;=Assumptions!$B$28,1,0)</f>
        <v>1</v>
      </c>
      <c r="E18" s="9">
        <f>Assumptions!$B$6*(1+Assumptions!$B$7)^IF(B18&lt;=Assumptions!$B$9,B18-1,Assumptions!$B$9-1+Assumptions!$B$21*(B18-Assumptions!$B$9))</f>
        <v>32.96</v>
      </c>
      <c r="F18" s="66">
        <f>E18*Assumptions!$B$5/12*D18</f>
        <v>4120</v>
      </c>
      <c r="G18" s="8">
        <f>-IF(A18&lt;=Assumptions!$B$12,F18,0)</f>
        <v>0</v>
      </c>
      <c r="H18" s="8">
        <f>Assumptions!$B$8*(1+Assumptions!$B$20)^(B18-1)*Assumptions!$B$5/12*D18</f>
        <v>804.6875</v>
      </c>
      <c r="I18" s="8">
        <f t="shared" si="1"/>
        <v>4924.6875</v>
      </c>
      <c r="J18" s="20">
        <f>1/(1+Assumptions!$B$23/12)^A18</f>
        <v>0.89914345679437779</v>
      </c>
      <c r="K18" s="8">
        <f t="shared" si="2"/>
        <v>4428.0005423820621</v>
      </c>
    </row>
    <row r="19" spans="1:11" x14ac:dyDescent="0.2">
      <c r="A19" s="7">
        <v>17</v>
      </c>
      <c r="B19" s="7">
        <f t="shared" si="0"/>
        <v>2</v>
      </c>
      <c r="C19" s="19" t="str">
        <f>IF(B19&lt;=Assumptions!$B$9,"Initial",IF(B19&lt;=Assumptions!$B$9+Assumptions!$B$11,"Option 1","Option 2"))</f>
        <v>Initial</v>
      </c>
      <c r="D19" s="65">
        <f>IF(A19&lt;=Assumptions!$B$28,1,0)</f>
        <v>1</v>
      </c>
      <c r="E19" s="9">
        <f>Assumptions!$B$6*(1+Assumptions!$B$7)^IF(B19&lt;=Assumptions!$B$9,B19-1,Assumptions!$B$9-1+Assumptions!$B$21*(B19-Assumptions!$B$9))</f>
        <v>32.96</v>
      </c>
      <c r="F19" s="66">
        <f>E19*Assumptions!$B$5/12*D19</f>
        <v>4120</v>
      </c>
      <c r="G19" s="8">
        <f>-IF(A19&lt;=Assumptions!$B$12,F19,0)</f>
        <v>0</v>
      </c>
      <c r="H19" s="8">
        <f>Assumptions!$B$8*(1+Assumptions!$B$20)^(B19-1)*Assumptions!$B$5/12*D19</f>
        <v>804.6875</v>
      </c>
      <c r="I19" s="8">
        <f t="shared" si="1"/>
        <v>4924.6875</v>
      </c>
      <c r="J19" s="20">
        <f>1/(1+Assumptions!$B$23/12)^A19</f>
        <v>0.89318886436527589</v>
      </c>
      <c r="K19" s="8">
        <f t="shared" si="2"/>
        <v>4398.6760354788694</v>
      </c>
    </row>
    <row r="20" spans="1:11" x14ac:dyDescent="0.2">
      <c r="A20" s="7">
        <v>18</v>
      </c>
      <c r="B20" s="7">
        <f t="shared" si="0"/>
        <v>2</v>
      </c>
      <c r="C20" s="19" t="str">
        <f>IF(B20&lt;=Assumptions!$B$9,"Initial",IF(B20&lt;=Assumptions!$B$9+Assumptions!$B$11,"Option 1","Option 2"))</f>
        <v>Initial</v>
      </c>
      <c r="D20" s="65">
        <f>IF(A20&lt;=Assumptions!$B$28,1,0)</f>
        <v>1</v>
      </c>
      <c r="E20" s="9">
        <f>Assumptions!$B$6*(1+Assumptions!$B$7)^IF(B20&lt;=Assumptions!$B$9,B20-1,Assumptions!$B$9-1+Assumptions!$B$21*(B20-Assumptions!$B$9))</f>
        <v>32.96</v>
      </c>
      <c r="F20" s="66">
        <f>E20*Assumptions!$B$5/12*D20</f>
        <v>4120</v>
      </c>
      <c r="G20" s="8">
        <f>-IF(A20&lt;=Assumptions!$B$12,F20,0)</f>
        <v>0</v>
      </c>
      <c r="H20" s="8">
        <f>Assumptions!$B$8*(1+Assumptions!$B$20)^(B20-1)*Assumptions!$B$5/12*D20</f>
        <v>804.6875</v>
      </c>
      <c r="I20" s="8">
        <f t="shared" si="1"/>
        <v>4924.6875</v>
      </c>
      <c r="J20" s="20">
        <f>1/(1+Assumptions!$B$23/12)^A20</f>
        <v>0.88727370632312186</v>
      </c>
      <c r="K20" s="8">
        <f t="shared" si="2"/>
        <v>4369.5457306081489</v>
      </c>
    </row>
    <row r="21" spans="1:11" x14ac:dyDescent="0.2">
      <c r="A21" s="7">
        <v>19</v>
      </c>
      <c r="B21" s="7">
        <f t="shared" si="0"/>
        <v>2</v>
      </c>
      <c r="C21" s="19" t="str">
        <f>IF(B21&lt;=Assumptions!$B$9,"Initial",IF(B21&lt;=Assumptions!$B$9+Assumptions!$B$11,"Option 1","Option 2"))</f>
        <v>Initial</v>
      </c>
      <c r="D21" s="65">
        <f>IF(A21&lt;=Assumptions!$B$28,1,0)</f>
        <v>1</v>
      </c>
      <c r="E21" s="9">
        <f>Assumptions!$B$6*(1+Assumptions!$B$7)^IF(B21&lt;=Assumptions!$B$9,B21-1,Assumptions!$B$9-1+Assumptions!$B$21*(B21-Assumptions!$B$9))</f>
        <v>32.96</v>
      </c>
      <c r="F21" s="66">
        <f>E21*Assumptions!$B$5/12*D21</f>
        <v>4120</v>
      </c>
      <c r="G21" s="8">
        <f>-IF(A21&lt;=Assumptions!$B$12,F21,0)</f>
        <v>0</v>
      </c>
      <c r="H21" s="8">
        <f>Assumptions!$B$8*(1+Assumptions!$B$20)^(B21-1)*Assumptions!$B$5/12*D21</f>
        <v>804.6875</v>
      </c>
      <c r="I21" s="8">
        <f t="shared" si="1"/>
        <v>4924.6875</v>
      </c>
      <c r="J21" s="20">
        <f>1/(1+Assumptions!$B$23/12)^A21</f>
        <v>0.88139772151303497</v>
      </c>
      <c r="K21" s="8">
        <f t="shared" si="2"/>
        <v>4340.6083416637248</v>
      </c>
    </row>
    <row r="22" spans="1:11" x14ac:dyDescent="0.2">
      <c r="A22" s="7">
        <v>20</v>
      </c>
      <c r="B22" s="7">
        <f t="shared" si="0"/>
        <v>2</v>
      </c>
      <c r="C22" s="19" t="str">
        <f>IF(B22&lt;=Assumptions!$B$9,"Initial",IF(B22&lt;=Assumptions!$B$9+Assumptions!$B$11,"Option 1","Option 2"))</f>
        <v>Initial</v>
      </c>
      <c r="D22" s="65">
        <f>IF(A22&lt;=Assumptions!$B$28,1,0)</f>
        <v>1</v>
      </c>
      <c r="E22" s="9">
        <f>Assumptions!$B$6*(1+Assumptions!$B$7)^IF(B22&lt;=Assumptions!$B$9,B22-1,Assumptions!$B$9-1+Assumptions!$B$21*(B22-Assumptions!$B$9))</f>
        <v>32.96</v>
      </c>
      <c r="F22" s="66">
        <f>E22*Assumptions!$B$5/12*D22</f>
        <v>4120</v>
      </c>
      <c r="G22" s="8">
        <f>-IF(A22&lt;=Assumptions!$B$12,F22,0)</f>
        <v>0</v>
      </c>
      <c r="H22" s="8">
        <f>Assumptions!$B$8*(1+Assumptions!$B$20)^(B22-1)*Assumptions!$B$5/12*D22</f>
        <v>804.6875</v>
      </c>
      <c r="I22" s="8">
        <f t="shared" si="1"/>
        <v>4924.6875</v>
      </c>
      <c r="J22" s="20">
        <f>1/(1+Assumptions!$B$23/12)^A22</f>
        <v>0.87556065050963749</v>
      </c>
      <c r="K22" s="8">
        <f t="shared" si="2"/>
        <v>4311.8625910566807</v>
      </c>
    </row>
    <row r="23" spans="1:11" x14ac:dyDescent="0.2">
      <c r="A23" s="7">
        <v>21</v>
      </c>
      <c r="B23" s="7">
        <f t="shared" si="0"/>
        <v>2</v>
      </c>
      <c r="C23" s="19" t="str">
        <f>IF(B23&lt;=Assumptions!$B$9,"Initial",IF(B23&lt;=Assumptions!$B$9+Assumptions!$B$11,"Option 1","Option 2"))</f>
        <v>Initial</v>
      </c>
      <c r="D23" s="65">
        <f>IF(A23&lt;=Assumptions!$B$28,1,0)</f>
        <v>1</v>
      </c>
      <c r="E23" s="9">
        <f>Assumptions!$B$6*(1+Assumptions!$B$7)^IF(B23&lt;=Assumptions!$B$9,B23-1,Assumptions!$B$9-1+Assumptions!$B$21*(B23-Assumptions!$B$9))</f>
        <v>32.96</v>
      </c>
      <c r="F23" s="66">
        <f>E23*Assumptions!$B$5/12*D23</f>
        <v>4120</v>
      </c>
      <c r="G23" s="8">
        <f>-IF(A23&lt;=Assumptions!$B$12,F23,0)</f>
        <v>0</v>
      </c>
      <c r="H23" s="8">
        <f>Assumptions!$B$8*(1+Assumptions!$B$20)^(B23-1)*Assumptions!$B$5/12*D23</f>
        <v>804.6875</v>
      </c>
      <c r="I23" s="8">
        <f t="shared" si="1"/>
        <v>4924.6875</v>
      </c>
      <c r="J23" s="20">
        <f>1/(1+Assumptions!$B$23/12)^A23</f>
        <v>0.86976223560560018</v>
      </c>
      <c r="K23" s="8">
        <f t="shared" si="2"/>
        <v>4283.307209658954</v>
      </c>
    </row>
    <row r="24" spans="1:11" x14ac:dyDescent="0.2">
      <c r="A24" s="7">
        <v>22</v>
      </c>
      <c r="B24" s="7">
        <f t="shared" si="0"/>
        <v>2</v>
      </c>
      <c r="C24" s="19" t="str">
        <f>IF(B24&lt;=Assumptions!$B$9,"Initial",IF(B24&lt;=Assumptions!$B$9+Assumptions!$B$11,"Option 1","Option 2"))</f>
        <v>Initial</v>
      </c>
      <c r="D24" s="65">
        <f>IF(A24&lt;=Assumptions!$B$28,1,0)</f>
        <v>1</v>
      </c>
      <c r="E24" s="9">
        <f>Assumptions!$B$6*(1+Assumptions!$B$7)^IF(B24&lt;=Assumptions!$B$9,B24-1,Assumptions!$B$9-1+Assumptions!$B$21*(B24-Assumptions!$B$9))</f>
        <v>32.96</v>
      </c>
      <c r="F24" s="66">
        <f>E24*Assumptions!$B$5/12*D24</f>
        <v>4120</v>
      </c>
      <c r="G24" s="8">
        <f>-IF(A24&lt;=Assumptions!$B$12,F24,0)</f>
        <v>0</v>
      </c>
      <c r="H24" s="8">
        <f>Assumptions!$B$8*(1+Assumptions!$B$20)^(B24-1)*Assumptions!$B$5/12*D24</f>
        <v>804.6875</v>
      </c>
      <c r="I24" s="8">
        <f t="shared" si="1"/>
        <v>4924.6875</v>
      </c>
      <c r="J24" s="20">
        <f>1/(1+Assumptions!$B$23/12)^A24</f>
        <v>0.86400222080026512</v>
      </c>
      <c r="K24" s="8">
        <f t="shared" si="2"/>
        <v>4254.9409367473054</v>
      </c>
    </row>
    <row r="25" spans="1:11" x14ac:dyDescent="0.2">
      <c r="A25" s="7">
        <v>23</v>
      </c>
      <c r="B25" s="7">
        <f t="shared" si="0"/>
        <v>2</v>
      </c>
      <c r="C25" s="19" t="str">
        <f>IF(B25&lt;=Assumptions!$B$9,"Initial",IF(B25&lt;=Assumptions!$B$9+Assumptions!$B$11,"Option 1","Option 2"))</f>
        <v>Initial</v>
      </c>
      <c r="D25" s="65">
        <f>IF(A25&lt;=Assumptions!$B$28,1,0)</f>
        <v>1</v>
      </c>
      <c r="E25" s="9">
        <f>Assumptions!$B$6*(1+Assumptions!$B$7)^IF(B25&lt;=Assumptions!$B$9,B25-1,Assumptions!$B$9-1+Assumptions!$B$21*(B25-Assumptions!$B$9))</f>
        <v>32.96</v>
      </c>
      <c r="F25" s="66">
        <f>E25*Assumptions!$B$5/12*D25</f>
        <v>4120</v>
      </c>
      <c r="G25" s="8">
        <f>-IF(A25&lt;=Assumptions!$B$12,F25,0)</f>
        <v>0</v>
      </c>
      <c r="H25" s="8">
        <f>Assumptions!$B$8*(1+Assumptions!$B$20)^(B25-1)*Assumptions!$B$5/12*D25</f>
        <v>804.6875</v>
      </c>
      <c r="I25" s="8">
        <f t="shared" si="1"/>
        <v>4924.6875</v>
      </c>
      <c r="J25" s="20">
        <f>1/(1+Assumptions!$B$23/12)^A25</f>
        <v>0.85828035178834294</v>
      </c>
      <c r="K25" s="8">
        <f t="shared" si="2"/>
        <v>4226.7625199476552</v>
      </c>
    </row>
    <row r="26" spans="1:11" x14ac:dyDescent="0.2">
      <c r="A26" s="7">
        <v>24</v>
      </c>
      <c r="B26" s="7">
        <f t="shared" si="0"/>
        <v>2</v>
      </c>
      <c r="C26" s="19" t="str">
        <f>IF(B26&lt;=Assumptions!$B$9,"Initial",IF(B26&lt;=Assumptions!$B$9+Assumptions!$B$11,"Option 1","Option 2"))</f>
        <v>Initial</v>
      </c>
      <c r="D26" s="65">
        <f>IF(A26&lt;=Assumptions!$B$28,1,0)</f>
        <v>1</v>
      </c>
      <c r="E26" s="9">
        <f>Assumptions!$B$6*(1+Assumptions!$B$7)^IF(B26&lt;=Assumptions!$B$9,B26-1,Assumptions!$B$9-1+Assumptions!$B$21*(B26-Assumptions!$B$9))</f>
        <v>32.96</v>
      </c>
      <c r="F26" s="66">
        <f>E26*Assumptions!$B$5/12*D26</f>
        <v>4120</v>
      </c>
      <c r="G26" s="8">
        <f>-IF(A26&lt;=Assumptions!$B$12,F26,0)</f>
        <v>0</v>
      </c>
      <c r="H26" s="8">
        <f>Assumptions!$B$8*(1+Assumptions!$B$20)^(B26-1)*Assumptions!$B$5/12*D26</f>
        <v>804.6875</v>
      </c>
      <c r="I26" s="8">
        <f t="shared" si="1"/>
        <v>4924.6875</v>
      </c>
      <c r="J26" s="20">
        <f>1/(1+Assumptions!$B$23/12)^A26</f>
        <v>0.85259637594868509</v>
      </c>
      <c r="K26" s="8">
        <f t="shared" si="2"/>
        <v>4198.7707151797904</v>
      </c>
    </row>
    <row r="27" spans="1:11" x14ac:dyDescent="0.2">
      <c r="A27" s="7">
        <v>25</v>
      </c>
      <c r="B27" s="7">
        <f t="shared" si="0"/>
        <v>3</v>
      </c>
      <c r="C27" s="19" t="str">
        <f>IF(B27&lt;=Assumptions!$B$9,"Initial",IF(B27&lt;=Assumptions!$B$9+Assumptions!$B$11,"Option 1","Option 2"))</f>
        <v>Initial</v>
      </c>
      <c r="D27" s="65">
        <f>IF(A27&lt;=Assumptions!$B$28,1,0)</f>
        <v>1</v>
      </c>
      <c r="E27" s="9">
        <f>Assumptions!$B$6*(1+Assumptions!$B$7)^IF(B27&lt;=Assumptions!$B$9,B27-1,Assumptions!$B$9-1+Assumptions!$B$21*(B27-Assumptions!$B$9))</f>
        <v>33.948799999999999</v>
      </c>
      <c r="F27" s="66">
        <f>E27*Assumptions!$B$5/12*D27</f>
        <v>4243.5999999999995</v>
      </c>
      <c r="G27" s="8">
        <f>-IF(A27&lt;=Assumptions!$B$12,F27,0)</f>
        <v>0</v>
      </c>
      <c r="H27" s="8">
        <f>Assumptions!$B$8*(1+Assumptions!$B$20)^(B27-1)*Assumptions!$B$5/12*D27</f>
        <v>828.82812499999989</v>
      </c>
      <c r="I27" s="8">
        <f t="shared" si="1"/>
        <v>5072.4281249999995</v>
      </c>
      <c r="J27" s="20">
        <f>1/(1+Assumptions!$B$23/12)^A27</f>
        <v>0.84695004233313098</v>
      </c>
      <c r="K27" s="8">
        <f t="shared" si="2"/>
        <v>4296.0932152005134</v>
      </c>
    </row>
    <row r="28" spans="1:11" x14ac:dyDescent="0.2">
      <c r="A28" s="7">
        <v>26</v>
      </c>
      <c r="B28" s="7">
        <f t="shared" si="0"/>
        <v>3</v>
      </c>
      <c r="C28" s="19" t="str">
        <f>IF(B28&lt;=Assumptions!$B$9,"Initial",IF(B28&lt;=Assumptions!$B$9+Assumptions!$B$11,"Option 1","Option 2"))</f>
        <v>Initial</v>
      </c>
      <c r="D28" s="65">
        <f>IF(A28&lt;=Assumptions!$B$28,1,0)</f>
        <v>1</v>
      </c>
      <c r="E28" s="9">
        <f>Assumptions!$B$6*(1+Assumptions!$B$7)^IF(B28&lt;=Assumptions!$B$9,B28-1,Assumptions!$B$9-1+Assumptions!$B$21*(B28-Assumptions!$B$9))</f>
        <v>33.948799999999999</v>
      </c>
      <c r="F28" s="66">
        <f>E28*Assumptions!$B$5/12*D28</f>
        <v>4243.5999999999995</v>
      </c>
      <c r="G28" s="8">
        <f>-IF(A28&lt;=Assumptions!$B$12,F28,0)</f>
        <v>0</v>
      </c>
      <c r="H28" s="8">
        <f>Assumptions!$B$8*(1+Assumptions!$B$20)^(B28-1)*Assumptions!$B$5/12*D28</f>
        <v>828.82812499999989</v>
      </c>
      <c r="I28" s="8">
        <f t="shared" si="1"/>
        <v>5072.4281249999995</v>
      </c>
      <c r="J28" s="20">
        <f>1/(1+Assumptions!$B$23/12)^A28</f>
        <v>0.84134110165542808</v>
      </c>
      <c r="K28" s="8">
        <f t="shared" si="2"/>
        <v>4267.6422667554771</v>
      </c>
    </row>
    <row r="29" spans="1:11" x14ac:dyDescent="0.2">
      <c r="A29" s="7">
        <v>27</v>
      </c>
      <c r="B29" s="7">
        <f t="shared" si="0"/>
        <v>3</v>
      </c>
      <c r="C29" s="19" t="str">
        <f>IF(B29&lt;=Assumptions!$B$9,"Initial",IF(B29&lt;=Assumptions!$B$9+Assumptions!$B$11,"Option 1","Option 2"))</f>
        <v>Initial</v>
      </c>
      <c r="D29" s="65">
        <f>IF(A29&lt;=Assumptions!$B$28,1,0)</f>
        <v>1</v>
      </c>
      <c r="E29" s="9">
        <f>Assumptions!$B$6*(1+Assumptions!$B$7)^IF(B29&lt;=Assumptions!$B$9,B29-1,Assumptions!$B$9-1+Assumptions!$B$21*(B29-Assumptions!$B$9))</f>
        <v>33.948799999999999</v>
      </c>
      <c r="F29" s="66">
        <f>E29*Assumptions!$B$5/12*D29</f>
        <v>4243.5999999999995</v>
      </c>
      <c r="G29" s="8">
        <f>-IF(A29&lt;=Assumptions!$B$12,F29,0)</f>
        <v>0</v>
      </c>
      <c r="H29" s="8">
        <f>Assumptions!$B$8*(1+Assumptions!$B$20)^(B29-1)*Assumptions!$B$5/12*D29</f>
        <v>828.82812499999989</v>
      </c>
      <c r="I29" s="8">
        <f t="shared" si="1"/>
        <v>5072.4281249999995</v>
      </c>
      <c r="J29" s="20">
        <f>1/(1+Assumptions!$B$23/12)^A29</f>
        <v>0.83576930628022661</v>
      </c>
      <c r="K29" s="8">
        <f t="shared" si="2"/>
        <v>4239.3797351875601</v>
      </c>
    </row>
    <row r="30" spans="1:11" x14ac:dyDescent="0.2">
      <c r="A30" s="7">
        <v>28</v>
      </c>
      <c r="B30" s="7">
        <f t="shared" si="0"/>
        <v>3</v>
      </c>
      <c r="C30" s="19" t="str">
        <f>IF(B30&lt;=Assumptions!$B$9,"Initial",IF(B30&lt;=Assumptions!$B$9+Assumptions!$B$11,"Option 1","Option 2"))</f>
        <v>Initial</v>
      </c>
      <c r="D30" s="65">
        <f>IF(A30&lt;=Assumptions!$B$28,1,0)</f>
        <v>1</v>
      </c>
      <c r="E30" s="9">
        <f>Assumptions!$B$6*(1+Assumptions!$B$7)^IF(B30&lt;=Assumptions!$B$9,B30-1,Assumptions!$B$9-1+Assumptions!$B$21*(B30-Assumptions!$B$9))</f>
        <v>33.948799999999999</v>
      </c>
      <c r="F30" s="66">
        <f>E30*Assumptions!$B$5/12*D30</f>
        <v>4243.5999999999995</v>
      </c>
      <c r="G30" s="8">
        <f>-IF(A30&lt;=Assumptions!$B$12,F30,0)</f>
        <v>0</v>
      </c>
      <c r="H30" s="8">
        <f>Assumptions!$B$8*(1+Assumptions!$B$20)^(B30-1)*Assumptions!$B$5/12*D30</f>
        <v>828.82812499999989</v>
      </c>
      <c r="I30" s="8">
        <f t="shared" si="1"/>
        <v>5072.4281249999995</v>
      </c>
      <c r="J30" s="20">
        <f>1/(1+Assumptions!$B$23/12)^A30</f>
        <v>0.83023441021214572</v>
      </c>
      <c r="K30" s="8">
        <f t="shared" si="2"/>
        <v>4211.3043727028744</v>
      </c>
    </row>
    <row r="31" spans="1:11" x14ac:dyDescent="0.2">
      <c r="A31" s="7">
        <v>29</v>
      </c>
      <c r="B31" s="7">
        <f t="shared" si="0"/>
        <v>3</v>
      </c>
      <c r="C31" s="19" t="str">
        <f>IF(B31&lt;=Assumptions!$B$9,"Initial",IF(B31&lt;=Assumptions!$B$9+Assumptions!$B$11,"Option 1","Option 2"))</f>
        <v>Initial</v>
      </c>
      <c r="D31" s="65">
        <f>IF(A31&lt;=Assumptions!$B$28,1,0)</f>
        <v>1</v>
      </c>
      <c r="E31" s="9">
        <f>Assumptions!$B$6*(1+Assumptions!$B$7)^IF(B31&lt;=Assumptions!$B$9,B31-1,Assumptions!$B$9-1+Assumptions!$B$21*(B31-Assumptions!$B$9))</f>
        <v>33.948799999999999</v>
      </c>
      <c r="F31" s="66">
        <f>E31*Assumptions!$B$5/12*D31</f>
        <v>4243.5999999999995</v>
      </c>
      <c r="G31" s="8">
        <f>-IF(A31&lt;=Assumptions!$B$12,F31,0)</f>
        <v>0</v>
      </c>
      <c r="H31" s="8">
        <f>Assumptions!$B$8*(1+Assumptions!$B$20)^(B31-1)*Assumptions!$B$5/12*D31</f>
        <v>828.82812499999989</v>
      </c>
      <c r="I31" s="8">
        <f t="shared" si="1"/>
        <v>5072.4281249999995</v>
      </c>
      <c r="J31" s="20">
        <f>1/(1+Assumptions!$B$23/12)^A31</f>
        <v>0.82473616908491298</v>
      </c>
      <c r="K31" s="8">
        <f t="shared" si="2"/>
        <v>4183.414939771068</v>
      </c>
    </row>
    <row r="32" spans="1:11" x14ac:dyDescent="0.2">
      <c r="A32" s="7">
        <v>30</v>
      </c>
      <c r="B32" s="7">
        <f t="shared" si="0"/>
        <v>3</v>
      </c>
      <c r="C32" s="19" t="str">
        <f>IF(B32&lt;=Assumptions!$B$9,"Initial",IF(B32&lt;=Assumptions!$B$9+Assumptions!$B$11,"Option 1","Option 2"))</f>
        <v>Initial</v>
      </c>
      <c r="D32" s="65">
        <f>IF(A32&lt;=Assumptions!$B$28,1,0)</f>
        <v>1</v>
      </c>
      <c r="E32" s="9">
        <f>Assumptions!$B$6*(1+Assumptions!$B$7)^IF(B32&lt;=Assumptions!$B$9,B32-1,Assumptions!$B$9-1+Assumptions!$B$21*(B32-Assumptions!$B$9))</f>
        <v>33.948799999999999</v>
      </c>
      <c r="F32" s="66">
        <f>E32*Assumptions!$B$5/12*D32</f>
        <v>4243.5999999999995</v>
      </c>
      <c r="G32" s="8">
        <f>-IF(A32&lt;=Assumptions!$B$12,F32,0)</f>
        <v>0</v>
      </c>
      <c r="H32" s="8">
        <f>Assumptions!$B$8*(1+Assumptions!$B$20)^(B32-1)*Assumptions!$B$5/12*D32</f>
        <v>828.82812499999989</v>
      </c>
      <c r="I32" s="8">
        <f t="shared" si="1"/>
        <v>5072.4281249999995</v>
      </c>
      <c r="J32" s="20">
        <f>1/(1+Assumptions!$B$23/12)^A32</f>
        <v>0.81927434015057587</v>
      </c>
      <c r="K32" s="8">
        <f t="shared" si="2"/>
        <v>4155.7102050705971</v>
      </c>
    </row>
    <row r="33" spans="1:11" x14ac:dyDescent="0.2">
      <c r="A33" s="7">
        <v>31</v>
      </c>
      <c r="B33" s="7">
        <f t="shared" si="0"/>
        <v>3</v>
      </c>
      <c r="C33" s="19" t="str">
        <f>IF(B33&lt;=Assumptions!$B$9,"Initial",IF(B33&lt;=Assumptions!$B$9+Assumptions!$B$11,"Option 1","Option 2"))</f>
        <v>Initial</v>
      </c>
      <c r="D33" s="65">
        <f>IF(A33&lt;=Assumptions!$B$28,1,0)</f>
        <v>1</v>
      </c>
      <c r="E33" s="9">
        <f>Assumptions!$B$6*(1+Assumptions!$B$7)^IF(B33&lt;=Assumptions!$B$9,B33-1,Assumptions!$B$9-1+Assumptions!$B$21*(B33-Assumptions!$B$9))</f>
        <v>33.948799999999999</v>
      </c>
      <c r="F33" s="66">
        <f>E33*Assumptions!$B$5/12*D33</f>
        <v>4243.5999999999995</v>
      </c>
      <c r="G33" s="8">
        <f>-IF(A33&lt;=Assumptions!$B$12,F33,0)</f>
        <v>0</v>
      </c>
      <c r="H33" s="8">
        <f>Assumptions!$B$8*(1+Assumptions!$B$20)^(B33-1)*Assumptions!$B$5/12*D33</f>
        <v>828.82812499999989</v>
      </c>
      <c r="I33" s="8">
        <f t="shared" si="1"/>
        <v>5072.4281249999995</v>
      </c>
      <c r="J33" s="20">
        <f>1/(1+Assumptions!$B$23/12)^A33</f>
        <v>0.81384868226878415</v>
      </c>
      <c r="K33" s="8">
        <f t="shared" si="2"/>
        <v>4128.1889454343691</v>
      </c>
    </row>
    <row r="34" spans="1:11" x14ac:dyDescent="0.2">
      <c r="A34" s="7">
        <v>32</v>
      </c>
      <c r="B34" s="7">
        <f t="shared" si="0"/>
        <v>3</v>
      </c>
      <c r="C34" s="19" t="str">
        <f>IF(B34&lt;=Assumptions!$B$9,"Initial",IF(B34&lt;=Assumptions!$B$9+Assumptions!$B$11,"Option 1","Option 2"))</f>
        <v>Initial</v>
      </c>
      <c r="D34" s="65">
        <f>IF(A34&lt;=Assumptions!$B$28,1,0)</f>
        <v>1</v>
      </c>
      <c r="E34" s="9">
        <f>Assumptions!$B$6*(1+Assumptions!$B$7)^IF(B34&lt;=Assumptions!$B$9,B34-1,Assumptions!$B$9-1+Assumptions!$B$21*(B34-Assumptions!$B$9))</f>
        <v>33.948799999999999</v>
      </c>
      <c r="F34" s="66">
        <f>E34*Assumptions!$B$5/12*D34</f>
        <v>4243.5999999999995</v>
      </c>
      <c r="G34" s="8">
        <f>-IF(A34&lt;=Assumptions!$B$12,F34,0)</f>
        <v>0</v>
      </c>
      <c r="H34" s="8">
        <f>Assumptions!$B$8*(1+Assumptions!$B$20)^(B34-1)*Assumptions!$B$5/12*D34</f>
        <v>828.82812499999989</v>
      </c>
      <c r="I34" s="8">
        <f t="shared" si="1"/>
        <v>5072.4281249999995</v>
      </c>
      <c r="J34" s="20">
        <f>1/(1+Assumptions!$B$23/12)^A34</f>
        <v>0.80845895589614314</v>
      </c>
      <c r="K34" s="8">
        <f t="shared" si="2"/>
        <v>4100.8499457957305</v>
      </c>
    </row>
    <row r="35" spans="1:11" x14ac:dyDescent="0.2">
      <c r="A35" s="7">
        <v>33</v>
      </c>
      <c r="B35" s="7">
        <f t="shared" ref="B35:B66" si="3">ROUNDUP(A35/12,0)</f>
        <v>3</v>
      </c>
      <c r="C35" s="19" t="str">
        <f>IF(B35&lt;=Assumptions!$B$9,"Initial",IF(B35&lt;=Assumptions!$B$9+Assumptions!$B$11,"Option 1","Option 2"))</f>
        <v>Initial</v>
      </c>
      <c r="D35" s="65">
        <f>IF(A35&lt;=Assumptions!$B$28,1,0)</f>
        <v>1</v>
      </c>
      <c r="E35" s="9">
        <f>Assumptions!$B$6*(1+Assumptions!$B$7)^IF(B35&lt;=Assumptions!$B$9,B35-1,Assumptions!$B$9-1+Assumptions!$B$21*(B35-Assumptions!$B$9))</f>
        <v>33.948799999999999</v>
      </c>
      <c r="F35" s="66">
        <f>E35*Assumptions!$B$5/12*D35</f>
        <v>4243.5999999999995</v>
      </c>
      <c r="G35" s="8">
        <f>-IF(A35&lt;=Assumptions!$B$12,F35,0)</f>
        <v>0</v>
      </c>
      <c r="H35" s="8">
        <f>Assumptions!$B$8*(1+Assumptions!$B$20)^(B35-1)*Assumptions!$B$5/12*D35</f>
        <v>828.82812499999989</v>
      </c>
      <c r="I35" s="8">
        <f t="shared" ref="I35:I66" si="4">F35+G35+H35</f>
        <v>5072.4281249999995</v>
      </c>
      <c r="J35" s="20">
        <f>1/(1+Assumptions!$B$23/12)^A35</f>
        <v>0.80310492307563897</v>
      </c>
      <c r="K35" s="8">
        <f t="shared" ref="K35:K66" si="5">I35*J35</f>
        <v>4073.6919991348323</v>
      </c>
    </row>
    <row r="36" spans="1:11" x14ac:dyDescent="0.2">
      <c r="A36" s="7">
        <v>34</v>
      </c>
      <c r="B36" s="7">
        <f t="shared" si="3"/>
        <v>3</v>
      </c>
      <c r="C36" s="19" t="str">
        <f>IF(B36&lt;=Assumptions!$B$9,"Initial",IF(B36&lt;=Assumptions!$B$9+Assumptions!$B$11,"Option 1","Option 2"))</f>
        <v>Initial</v>
      </c>
      <c r="D36" s="65">
        <f>IF(A36&lt;=Assumptions!$B$28,1,0)</f>
        <v>1</v>
      </c>
      <c r="E36" s="9">
        <f>Assumptions!$B$6*(1+Assumptions!$B$7)^IF(B36&lt;=Assumptions!$B$9,B36-1,Assumptions!$B$9-1+Assumptions!$B$21*(B36-Assumptions!$B$9))</f>
        <v>33.948799999999999</v>
      </c>
      <c r="F36" s="66">
        <f>E36*Assumptions!$B$5/12*D36</f>
        <v>4243.5999999999995</v>
      </c>
      <c r="G36" s="8">
        <f>-IF(A36&lt;=Assumptions!$B$12,F36,0)</f>
        <v>0</v>
      </c>
      <c r="H36" s="8">
        <f>Assumptions!$B$8*(1+Assumptions!$B$20)^(B36-1)*Assumptions!$B$5/12*D36</f>
        <v>828.82812499999989</v>
      </c>
      <c r="I36" s="8">
        <f t="shared" si="4"/>
        <v>5072.4281249999995</v>
      </c>
      <c r="J36" s="20">
        <f>1/(1+Assumptions!$B$23/12)^A36</f>
        <v>0.79778634742613141</v>
      </c>
      <c r="K36" s="8">
        <f t="shared" si="5"/>
        <v>4046.7139064253297</v>
      </c>
    </row>
    <row r="37" spans="1:11" x14ac:dyDescent="0.2">
      <c r="A37" s="7">
        <v>35</v>
      </c>
      <c r="B37" s="7">
        <f t="shared" si="3"/>
        <v>3</v>
      </c>
      <c r="C37" s="19" t="str">
        <f>IF(B37&lt;=Assumptions!$B$9,"Initial",IF(B37&lt;=Assumptions!$B$9+Assumptions!$B$11,"Option 1","Option 2"))</f>
        <v>Initial</v>
      </c>
      <c r="D37" s="65">
        <f>IF(A37&lt;=Assumptions!$B$28,1,0)</f>
        <v>1</v>
      </c>
      <c r="E37" s="9">
        <f>Assumptions!$B$6*(1+Assumptions!$B$7)^IF(B37&lt;=Assumptions!$B$9,B37-1,Assumptions!$B$9-1+Assumptions!$B$21*(B37-Assumptions!$B$9))</f>
        <v>33.948799999999999</v>
      </c>
      <c r="F37" s="66">
        <f>E37*Assumptions!$B$5/12*D37</f>
        <v>4243.5999999999995</v>
      </c>
      <c r="G37" s="8">
        <f>-IF(A37&lt;=Assumptions!$B$12,F37,0)</f>
        <v>0</v>
      </c>
      <c r="H37" s="8">
        <f>Assumptions!$B$8*(1+Assumptions!$B$20)^(B37-1)*Assumptions!$B$5/12*D37</f>
        <v>828.82812499999989</v>
      </c>
      <c r="I37" s="8">
        <f t="shared" si="4"/>
        <v>5072.4281249999995</v>
      </c>
      <c r="J37" s="20">
        <f>1/(1+Assumptions!$B$23/12)^A37</f>
        <v>0.79250299413191871</v>
      </c>
      <c r="K37" s="8">
        <f t="shared" si="5"/>
        <v>4019.914476581454</v>
      </c>
    </row>
    <row r="38" spans="1:11" x14ac:dyDescent="0.2">
      <c r="A38" s="7">
        <v>36</v>
      </c>
      <c r="B38" s="7">
        <f t="shared" si="3"/>
        <v>3</v>
      </c>
      <c r="C38" s="19" t="str">
        <f>IF(B38&lt;=Assumptions!$B$9,"Initial",IF(B38&lt;=Assumptions!$B$9+Assumptions!$B$11,"Option 1","Option 2"))</f>
        <v>Initial</v>
      </c>
      <c r="D38" s="65">
        <f>IF(A38&lt;=Assumptions!$B$28,1,0)</f>
        <v>1</v>
      </c>
      <c r="E38" s="9">
        <f>Assumptions!$B$6*(1+Assumptions!$B$7)^IF(B38&lt;=Assumptions!$B$9,B38-1,Assumptions!$B$9-1+Assumptions!$B$21*(B38-Assumptions!$B$9))</f>
        <v>33.948799999999999</v>
      </c>
      <c r="F38" s="66">
        <f>E38*Assumptions!$B$5/12*D38</f>
        <v>4243.5999999999995</v>
      </c>
      <c r="G38" s="8">
        <f>-IF(A38&lt;=Assumptions!$B$12,F38,0)</f>
        <v>0</v>
      </c>
      <c r="H38" s="8">
        <f>Assumptions!$B$8*(1+Assumptions!$B$20)^(B38-1)*Assumptions!$B$5/12*D38</f>
        <v>828.82812499999989</v>
      </c>
      <c r="I38" s="8">
        <f t="shared" si="4"/>
        <v>5072.4281249999995</v>
      </c>
      <c r="J38" s="20">
        <f>1/(1+Assumptions!$B$23/12)^A38</f>
        <v>0.78725462993236961</v>
      </c>
      <c r="K38" s="8">
        <f t="shared" si="5"/>
        <v>3993.2925264054179</v>
      </c>
    </row>
    <row r="39" spans="1:11" x14ac:dyDescent="0.2">
      <c r="A39" s="7">
        <v>37</v>
      </c>
      <c r="B39" s="7">
        <f t="shared" si="3"/>
        <v>4</v>
      </c>
      <c r="C39" s="19" t="str">
        <f>IF(B39&lt;=Assumptions!$B$9,"Initial",IF(B39&lt;=Assumptions!$B$9+Assumptions!$B$11,"Option 1","Option 2"))</f>
        <v>Option 1</v>
      </c>
      <c r="D39" s="65">
        <f>IF(A39&lt;=Assumptions!$B$28,1,0)</f>
        <v>0</v>
      </c>
      <c r="E39" s="9">
        <f>Assumptions!$B$6*(1+Assumptions!$B$7)^IF(B39&lt;=Assumptions!$B$9,B39-1,Assumptions!$B$9-1+Assumptions!$B$21*(B39-Assumptions!$B$9))</f>
        <v>34.967264</v>
      </c>
      <c r="F39" s="66">
        <f>E39*Assumptions!$B$5/12*D39</f>
        <v>0</v>
      </c>
      <c r="G39" s="8">
        <f>-IF(A39&lt;=Assumptions!$B$12,F39,0)</f>
        <v>0</v>
      </c>
      <c r="H39" s="8">
        <f>Assumptions!$B$8*(1+Assumptions!$B$20)^(B39-1)*Assumptions!$B$5/12*D39</f>
        <v>0</v>
      </c>
      <c r="I39" s="8">
        <f t="shared" si="4"/>
        <v>0</v>
      </c>
      <c r="J39" s="20">
        <f>1/(1+Assumptions!$B$23/12)^A39</f>
        <v>0.78204102311162538</v>
      </c>
      <c r="K39" s="8">
        <f t="shared" si="5"/>
        <v>0</v>
      </c>
    </row>
    <row r="40" spans="1:11" x14ac:dyDescent="0.2">
      <c r="A40" s="7">
        <v>38</v>
      </c>
      <c r="B40" s="7">
        <f t="shared" si="3"/>
        <v>4</v>
      </c>
      <c r="C40" s="19" t="str">
        <f>IF(B40&lt;=Assumptions!$B$9,"Initial",IF(B40&lt;=Assumptions!$B$9+Assumptions!$B$11,"Option 1","Option 2"))</f>
        <v>Option 1</v>
      </c>
      <c r="D40" s="65">
        <f>IF(A40&lt;=Assumptions!$B$28,1,0)</f>
        <v>0</v>
      </c>
      <c r="E40" s="9">
        <f>Assumptions!$B$6*(1+Assumptions!$B$7)^IF(B40&lt;=Assumptions!$B$9,B40-1,Assumptions!$B$9-1+Assumptions!$B$21*(B40-Assumptions!$B$9))</f>
        <v>34.967264</v>
      </c>
      <c r="F40" s="66">
        <f>E40*Assumptions!$B$5/12*D40</f>
        <v>0</v>
      </c>
      <c r="G40" s="8">
        <f>-IF(A40&lt;=Assumptions!$B$12,F40,0)</f>
        <v>0</v>
      </c>
      <c r="H40" s="8">
        <f>Assumptions!$B$8*(1+Assumptions!$B$20)^(B40-1)*Assumptions!$B$5/12*D40</f>
        <v>0</v>
      </c>
      <c r="I40" s="8">
        <f t="shared" si="4"/>
        <v>0</v>
      </c>
      <c r="J40" s="20">
        <f>1/(1+Assumptions!$B$23/12)^A40</f>
        <v>0.77686194348836968</v>
      </c>
      <c r="K40" s="8">
        <f t="shared" si="5"/>
        <v>0</v>
      </c>
    </row>
    <row r="41" spans="1:11" x14ac:dyDescent="0.2">
      <c r="A41" s="7">
        <v>39</v>
      </c>
      <c r="B41" s="7">
        <f t="shared" si="3"/>
        <v>4</v>
      </c>
      <c r="C41" s="19" t="str">
        <f>IF(B41&lt;=Assumptions!$B$9,"Initial",IF(B41&lt;=Assumptions!$B$9+Assumptions!$B$11,"Option 1","Option 2"))</f>
        <v>Option 1</v>
      </c>
      <c r="D41" s="65">
        <f>IF(A41&lt;=Assumptions!$B$28,1,0)</f>
        <v>0</v>
      </c>
      <c r="E41" s="9">
        <f>Assumptions!$B$6*(1+Assumptions!$B$7)^IF(B41&lt;=Assumptions!$B$9,B41-1,Assumptions!$B$9-1+Assumptions!$B$21*(B41-Assumptions!$B$9))</f>
        <v>34.967264</v>
      </c>
      <c r="F41" s="66">
        <f>E41*Assumptions!$B$5/12*D41</f>
        <v>0</v>
      </c>
      <c r="G41" s="8">
        <f>-IF(A41&lt;=Assumptions!$B$12,F41,0)</f>
        <v>0</v>
      </c>
      <c r="H41" s="8">
        <f>Assumptions!$B$8*(1+Assumptions!$B$20)^(B41-1)*Assumptions!$B$5/12*D41</f>
        <v>0</v>
      </c>
      <c r="I41" s="8">
        <f t="shared" si="4"/>
        <v>0</v>
      </c>
      <c r="J41" s="20">
        <f>1/(1+Assumptions!$B$23/12)^A41</f>
        <v>0.77171716240566524</v>
      </c>
      <c r="K41" s="8">
        <f t="shared" si="5"/>
        <v>0</v>
      </c>
    </row>
    <row r="42" spans="1:11" x14ac:dyDescent="0.2">
      <c r="A42" s="7">
        <v>40</v>
      </c>
      <c r="B42" s="7">
        <f t="shared" si="3"/>
        <v>4</v>
      </c>
      <c r="C42" s="19" t="str">
        <f>IF(B42&lt;=Assumptions!$B$9,"Initial",IF(B42&lt;=Assumptions!$B$9+Assumptions!$B$11,"Option 1","Option 2"))</f>
        <v>Option 1</v>
      </c>
      <c r="D42" s="65">
        <f>IF(A42&lt;=Assumptions!$B$28,1,0)</f>
        <v>0</v>
      </c>
      <c r="E42" s="9">
        <f>Assumptions!$B$6*(1+Assumptions!$B$7)^IF(B42&lt;=Assumptions!$B$9,B42-1,Assumptions!$B$9-1+Assumptions!$B$21*(B42-Assumptions!$B$9))</f>
        <v>34.967264</v>
      </c>
      <c r="F42" s="66">
        <f>E42*Assumptions!$B$5/12*D42</f>
        <v>0</v>
      </c>
      <c r="G42" s="8">
        <f>-IF(A42&lt;=Assumptions!$B$12,F42,0)</f>
        <v>0</v>
      </c>
      <c r="H42" s="8">
        <f>Assumptions!$B$8*(1+Assumptions!$B$20)^(B42-1)*Assumptions!$B$5/12*D42</f>
        <v>0</v>
      </c>
      <c r="I42" s="8">
        <f t="shared" si="4"/>
        <v>0</v>
      </c>
      <c r="J42" s="20">
        <f>1/(1+Assumptions!$B$23/12)^A42</f>
        <v>0.76660645272085959</v>
      </c>
      <c r="K42" s="8">
        <f t="shared" si="5"/>
        <v>0</v>
      </c>
    </row>
    <row r="43" spans="1:11" x14ac:dyDescent="0.2">
      <c r="A43" s="7">
        <v>41</v>
      </c>
      <c r="B43" s="7">
        <f t="shared" si="3"/>
        <v>4</v>
      </c>
      <c r="C43" s="19" t="str">
        <f>IF(B43&lt;=Assumptions!$B$9,"Initial",IF(B43&lt;=Assumptions!$B$9+Assumptions!$B$11,"Option 1","Option 2"))</f>
        <v>Option 1</v>
      </c>
      <c r="D43" s="65">
        <f>IF(A43&lt;=Assumptions!$B$28,1,0)</f>
        <v>0</v>
      </c>
      <c r="E43" s="9">
        <f>Assumptions!$B$6*(1+Assumptions!$B$7)^IF(B43&lt;=Assumptions!$B$9,B43-1,Assumptions!$B$9-1+Assumptions!$B$21*(B43-Assumptions!$B$9))</f>
        <v>34.967264</v>
      </c>
      <c r="F43" s="66">
        <f>E43*Assumptions!$B$5/12*D43</f>
        <v>0</v>
      </c>
      <c r="G43" s="8">
        <f>-IF(A43&lt;=Assumptions!$B$12,F43,0)</f>
        <v>0</v>
      </c>
      <c r="H43" s="8">
        <f>Assumptions!$B$8*(1+Assumptions!$B$20)^(B43-1)*Assumptions!$B$5/12*D43</f>
        <v>0</v>
      </c>
      <c r="I43" s="8">
        <f t="shared" si="4"/>
        <v>0</v>
      </c>
      <c r="J43" s="20">
        <f>1/(1+Assumptions!$B$23/12)^A43</f>
        <v>0.76152958879555599</v>
      </c>
      <c r="K43" s="8">
        <f t="shared" si="5"/>
        <v>0</v>
      </c>
    </row>
    <row r="44" spans="1:11" x14ac:dyDescent="0.2">
      <c r="A44" s="7">
        <v>42</v>
      </c>
      <c r="B44" s="7">
        <f t="shared" si="3"/>
        <v>4</v>
      </c>
      <c r="C44" s="19" t="str">
        <f>IF(B44&lt;=Assumptions!$B$9,"Initial",IF(B44&lt;=Assumptions!$B$9+Assumptions!$B$11,"Option 1","Option 2"))</f>
        <v>Option 1</v>
      </c>
      <c r="D44" s="65">
        <f>IF(A44&lt;=Assumptions!$B$28,1,0)</f>
        <v>0</v>
      </c>
      <c r="E44" s="9">
        <f>Assumptions!$B$6*(1+Assumptions!$B$7)^IF(B44&lt;=Assumptions!$B$9,B44-1,Assumptions!$B$9-1+Assumptions!$B$21*(B44-Assumptions!$B$9))</f>
        <v>34.967264</v>
      </c>
      <c r="F44" s="66">
        <f>E44*Assumptions!$B$5/12*D44</f>
        <v>0</v>
      </c>
      <c r="G44" s="8">
        <f>-IF(A44&lt;=Assumptions!$B$12,F44,0)</f>
        <v>0</v>
      </c>
      <c r="H44" s="8">
        <f>Assumptions!$B$8*(1+Assumptions!$B$20)^(B44-1)*Assumptions!$B$5/12*D44</f>
        <v>0</v>
      </c>
      <c r="I44" s="8">
        <f t="shared" si="4"/>
        <v>0</v>
      </c>
      <c r="J44" s="20">
        <f>1/(1+Assumptions!$B$23/12)^A44</f>
        <v>0.75648634648565161</v>
      </c>
      <c r="K44" s="8">
        <f t="shared" si="5"/>
        <v>0</v>
      </c>
    </row>
    <row r="45" spans="1:11" x14ac:dyDescent="0.2">
      <c r="A45" s="7">
        <v>43</v>
      </c>
      <c r="B45" s="7">
        <f t="shared" si="3"/>
        <v>4</v>
      </c>
      <c r="C45" s="19" t="str">
        <f>IF(B45&lt;=Assumptions!$B$9,"Initial",IF(B45&lt;=Assumptions!$B$9+Assumptions!$B$11,"Option 1","Option 2"))</f>
        <v>Option 1</v>
      </c>
      <c r="D45" s="65">
        <f>IF(A45&lt;=Assumptions!$B$28,1,0)</f>
        <v>0</v>
      </c>
      <c r="E45" s="9">
        <f>Assumptions!$B$6*(1+Assumptions!$B$7)^IF(B45&lt;=Assumptions!$B$9,B45-1,Assumptions!$B$9-1+Assumptions!$B$21*(B45-Assumptions!$B$9))</f>
        <v>34.967264</v>
      </c>
      <c r="F45" s="66">
        <f>E45*Assumptions!$B$5/12*D45</f>
        <v>0</v>
      </c>
      <c r="G45" s="8">
        <f>-IF(A45&lt;=Assumptions!$B$12,F45,0)</f>
        <v>0</v>
      </c>
      <c r="H45" s="8">
        <f>Assumptions!$B$8*(1+Assumptions!$B$20)^(B45-1)*Assumptions!$B$5/12*D45</f>
        <v>0</v>
      </c>
      <c r="I45" s="8">
        <f t="shared" si="4"/>
        <v>0</v>
      </c>
      <c r="J45" s="20">
        <f>1/(1+Assumptions!$B$23/12)^A45</f>
        <v>0.75147650313144199</v>
      </c>
      <c r="K45" s="8">
        <f t="shared" si="5"/>
        <v>0</v>
      </c>
    </row>
    <row r="46" spans="1:11" x14ac:dyDescent="0.2">
      <c r="A46" s="7">
        <v>44</v>
      </c>
      <c r="B46" s="7">
        <f t="shared" si="3"/>
        <v>4</v>
      </c>
      <c r="C46" s="19" t="str">
        <f>IF(B46&lt;=Assumptions!$B$9,"Initial",IF(B46&lt;=Assumptions!$B$9+Assumptions!$B$11,"Option 1","Option 2"))</f>
        <v>Option 1</v>
      </c>
      <c r="D46" s="65">
        <f>IF(A46&lt;=Assumptions!$B$28,1,0)</f>
        <v>0</v>
      </c>
      <c r="E46" s="9">
        <f>Assumptions!$B$6*(1+Assumptions!$B$7)^IF(B46&lt;=Assumptions!$B$9,B46-1,Assumptions!$B$9-1+Assumptions!$B$21*(B46-Assumptions!$B$9))</f>
        <v>34.967264</v>
      </c>
      <c r="F46" s="66">
        <f>E46*Assumptions!$B$5/12*D46</f>
        <v>0</v>
      </c>
      <c r="G46" s="8">
        <f>-IF(A46&lt;=Assumptions!$B$12,F46,0)</f>
        <v>0</v>
      </c>
      <c r="H46" s="8">
        <f>Assumptions!$B$8*(1+Assumptions!$B$20)^(B46-1)*Assumptions!$B$5/12*D46</f>
        <v>0</v>
      </c>
      <c r="I46" s="8">
        <f t="shared" si="4"/>
        <v>0</v>
      </c>
      <c r="J46" s="20">
        <f>1/(1+Assumptions!$B$23/12)^A46</f>
        <v>0.74649983754779026</v>
      </c>
      <c r="K46" s="8">
        <f t="shared" si="5"/>
        <v>0</v>
      </c>
    </row>
    <row r="47" spans="1:11" x14ac:dyDescent="0.2">
      <c r="A47" s="7">
        <v>45</v>
      </c>
      <c r="B47" s="7">
        <f t="shared" si="3"/>
        <v>4</v>
      </c>
      <c r="C47" s="19" t="str">
        <f>IF(B47&lt;=Assumptions!$B$9,"Initial",IF(B47&lt;=Assumptions!$B$9+Assumptions!$B$11,"Option 1","Option 2"))</f>
        <v>Option 1</v>
      </c>
      <c r="D47" s="65">
        <f>IF(A47&lt;=Assumptions!$B$28,1,0)</f>
        <v>0</v>
      </c>
      <c r="E47" s="9">
        <f>Assumptions!$B$6*(1+Assumptions!$B$7)^IF(B47&lt;=Assumptions!$B$9,B47-1,Assumptions!$B$9-1+Assumptions!$B$21*(B47-Assumptions!$B$9))</f>
        <v>34.967264</v>
      </c>
      <c r="F47" s="66">
        <f>E47*Assumptions!$B$5/12*D47</f>
        <v>0</v>
      </c>
      <c r="G47" s="8">
        <f>-IF(A47&lt;=Assumptions!$B$12,F47,0)</f>
        <v>0</v>
      </c>
      <c r="H47" s="8">
        <f>Assumptions!$B$8*(1+Assumptions!$B$20)^(B47-1)*Assumptions!$B$5/12*D47</f>
        <v>0</v>
      </c>
      <c r="I47" s="8">
        <f t="shared" si="4"/>
        <v>0</v>
      </c>
      <c r="J47" s="20">
        <f>1/(1+Assumptions!$B$23/12)^A47</f>
        <v>0.74155613001436105</v>
      </c>
      <c r="K47" s="8">
        <f t="shared" si="5"/>
        <v>0</v>
      </c>
    </row>
    <row r="48" spans="1:11" x14ac:dyDescent="0.2">
      <c r="A48" s="7">
        <v>46</v>
      </c>
      <c r="B48" s="7">
        <f t="shared" si="3"/>
        <v>4</v>
      </c>
      <c r="C48" s="19" t="str">
        <f>IF(B48&lt;=Assumptions!$B$9,"Initial",IF(B48&lt;=Assumptions!$B$9+Assumptions!$B$11,"Option 1","Option 2"))</f>
        <v>Option 1</v>
      </c>
      <c r="D48" s="65">
        <f>IF(A48&lt;=Assumptions!$B$28,1,0)</f>
        <v>0</v>
      </c>
      <c r="E48" s="9">
        <f>Assumptions!$B$6*(1+Assumptions!$B$7)^IF(B48&lt;=Assumptions!$B$9,B48-1,Assumptions!$B$9-1+Assumptions!$B$21*(B48-Assumptions!$B$9))</f>
        <v>34.967264</v>
      </c>
      <c r="F48" s="66">
        <f>E48*Assumptions!$B$5/12*D48</f>
        <v>0</v>
      </c>
      <c r="G48" s="8">
        <f>-IF(A48&lt;=Assumptions!$B$12,F48,0)</f>
        <v>0</v>
      </c>
      <c r="H48" s="8">
        <f>Assumptions!$B$8*(1+Assumptions!$B$20)^(B48-1)*Assumptions!$B$5/12*D48</f>
        <v>0</v>
      </c>
      <c r="I48" s="8">
        <f t="shared" si="4"/>
        <v>0</v>
      </c>
      <c r="J48" s="20">
        <f>1/(1+Assumptions!$B$23/12)^A48</f>
        <v>0.7366451622659218</v>
      </c>
      <c r="K48" s="8">
        <f t="shared" si="5"/>
        <v>0</v>
      </c>
    </row>
    <row r="49" spans="1:11" x14ac:dyDescent="0.2">
      <c r="A49" s="7">
        <v>47</v>
      </c>
      <c r="B49" s="7">
        <f t="shared" si="3"/>
        <v>4</v>
      </c>
      <c r="C49" s="19" t="str">
        <f>IF(B49&lt;=Assumptions!$B$9,"Initial",IF(B49&lt;=Assumptions!$B$9+Assumptions!$B$11,"Option 1","Option 2"))</f>
        <v>Option 1</v>
      </c>
      <c r="D49" s="65">
        <f>IF(A49&lt;=Assumptions!$B$28,1,0)</f>
        <v>0</v>
      </c>
      <c r="E49" s="9">
        <f>Assumptions!$B$6*(1+Assumptions!$B$7)^IF(B49&lt;=Assumptions!$B$9,B49-1,Assumptions!$B$9-1+Assumptions!$B$21*(B49-Assumptions!$B$9))</f>
        <v>34.967264</v>
      </c>
      <c r="F49" s="66">
        <f>E49*Assumptions!$B$5/12*D49</f>
        <v>0</v>
      </c>
      <c r="G49" s="8">
        <f>-IF(A49&lt;=Assumptions!$B$12,F49,0)</f>
        <v>0</v>
      </c>
      <c r="H49" s="8">
        <f>Assumptions!$B$8*(1+Assumptions!$B$20)^(B49-1)*Assumptions!$B$5/12*D49</f>
        <v>0</v>
      </c>
      <c r="I49" s="8">
        <f t="shared" si="4"/>
        <v>0</v>
      </c>
      <c r="J49" s="20">
        <f>1/(1+Assumptions!$B$23/12)^A49</f>
        <v>0.73176671748270383</v>
      </c>
      <c r="K49" s="8">
        <f t="shared" si="5"/>
        <v>0</v>
      </c>
    </row>
    <row r="50" spans="1:11" x14ac:dyDescent="0.2">
      <c r="A50" s="7">
        <v>48</v>
      </c>
      <c r="B50" s="7">
        <f t="shared" si="3"/>
        <v>4</v>
      </c>
      <c r="C50" s="19" t="str">
        <f>IF(B50&lt;=Assumptions!$B$9,"Initial",IF(B50&lt;=Assumptions!$B$9+Assumptions!$B$11,"Option 1","Option 2"))</f>
        <v>Option 1</v>
      </c>
      <c r="D50" s="65">
        <f>IF(A50&lt;=Assumptions!$B$28,1,0)</f>
        <v>0</v>
      </c>
      <c r="E50" s="9">
        <f>Assumptions!$B$6*(1+Assumptions!$B$7)^IF(B50&lt;=Assumptions!$B$9,B50-1,Assumptions!$B$9-1+Assumptions!$B$21*(B50-Assumptions!$B$9))</f>
        <v>34.967264</v>
      </c>
      <c r="F50" s="66">
        <f>E50*Assumptions!$B$5/12*D50</f>
        <v>0</v>
      </c>
      <c r="G50" s="8">
        <f>-IF(A50&lt;=Assumptions!$B$12,F50,0)</f>
        <v>0</v>
      </c>
      <c r="H50" s="8">
        <f>Assumptions!$B$8*(1+Assumptions!$B$20)^(B50-1)*Assumptions!$B$5/12*D50</f>
        <v>0</v>
      </c>
      <c r="I50" s="8">
        <f t="shared" si="4"/>
        <v>0</v>
      </c>
      <c r="J50" s="20">
        <f>1/(1+Assumptions!$B$23/12)^A50</f>
        <v>0.72692058028083162</v>
      </c>
      <c r="K50" s="8">
        <f t="shared" si="5"/>
        <v>0</v>
      </c>
    </row>
    <row r="51" spans="1:11" x14ac:dyDescent="0.2">
      <c r="A51" s="7">
        <v>49</v>
      </c>
      <c r="B51" s="7">
        <f t="shared" si="3"/>
        <v>5</v>
      </c>
      <c r="C51" s="19" t="str">
        <f>IF(B51&lt;=Assumptions!$B$9,"Initial",IF(B51&lt;=Assumptions!$B$9+Assumptions!$B$11,"Option 1","Option 2"))</f>
        <v>Option 1</v>
      </c>
      <c r="D51" s="65">
        <f>IF(A51&lt;=Assumptions!$B$28,1,0)</f>
        <v>0</v>
      </c>
      <c r="E51" s="9">
        <f>Assumptions!$B$6*(1+Assumptions!$B$7)^IF(B51&lt;=Assumptions!$B$9,B51-1,Assumptions!$B$9-1+Assumptions!$B$21*(B51-Assumptions!$B$9))</f>
        <v>36.016281919999997</v>
      </c>
      <c r="F51" s="66">
        <f>E51*Assumptions!$B$5/12*D51</f>
        <v>0</v>
      </c>
      <c r="G51" s="8">
        <f>-IF(A51&lt;=Assumptions!$B$12,F51,0)</f>
        <v>0</v>
      </c>
      <c r="H51" s="8">
        <f>Assumptions!$B$8*(1+Assumptions!$B$20)^(B51-1)*Assumptions!$B$5/12*D51</f>
        <v>0</v>
      </c>
      <c r="I51" s="8">
        <f t="shared" si="4"/>
        <v>0</v>
      </c>
      <c r="J51" s="20">
        <f>1/(1+Assumptions!$B$23/12)^A51</f>
        <v>0.72210653670281277</v>
      </c>
      <c r="K51" s="8">
        <f t="shared" si="5"/>
        <v>0</v>
      </c>
    </row>
    <row r="52" spans="1:11" x14ac:dyDescent="0.2">
      <c r="A52" s="7">
        <v>50</v>
      </c>
      <c r="B52" s="7">
        <f t="shared" si="3"/>
        <v>5</v>
      </c>
      <c r="C52" s="19" t="str">
        <f>IF(B52&lt;=Assumptions!$B$9,"Initial",IF(B52&lt;=Assumptions!$B$9+Assumptions!$B$11,"Option 1","Option 2"))</f>
        <v>Option 1</v>
      </c>
      <c r="D52" s="65">
        <f>IF(A52&lt;=Assumptions!$B$28,1,0)</f>
        <v>0</v>
      </c>
      <c r="E52" s="9">
        <f>Assumptions!$B$6*(1+Assumptions!$B$7)^IF(B52&lt;=Assumptions!$B$9,B52-1,Assumptions!$B$9-1+Assumptions!$B$21*(B52-Assumptions!$B$9))</f>
        <v>36.016281919999997</v>
      </c>
      <c r="F52" s="66">
        <f>E52*Assumptions!$B$5/12*D52</f>
        <v>0</v>
      </c>
      <c r="G52" s="8">
        <f>-IF(A52&lt;=Assumptions!$B$12,F52,0)</f>
        <v>0</v>
      </c>
      <c r="H52" s="8">
        <f>Assumptions!$B$8*(1+Assumptions!$B$20)^(B52-1)*Assumptions!$B$5/12*D52</f>
        <v>0</v>
      </c>
      <c r="I52" s="8">
        <f t="shared" si="4"/>
        <v>0</v>
      </c>
      <c r="J52" s="20">
        <f>1/(1+Assumptions!$B$23/12)^A52</f>
        <v>0.71732437420809214</v>
      </c>
      <c r="K52" s="8">
        <f t="shared" si="5"/>
        <v>0</v>
      </c>
    </row>
    <row r="53" spans="1:11" x14ac:dyDescent="0.2">
      <c r="A53" s="7">
        <v>51</v>
      </c>
      <c r="B53" s="7">
        <f t="shared" si="3"/>
        <v>5</v>
      </c>
      <c r="C53" s="19" t="str">
        <f>IF(B53&lt;=Assumptions!$B$9,"Initial",IF(B53&lt;=Assumptions!$B$9+Assumptions!$B$11,"Option 1","Option 2"))</f>
        <v>Option 1</v>
      </c>
      <c r="D53" s="65">
        <f>IF(A53&lt;=Assumptions!$B$28,1,0)</f>
        <v>0</v>
      </c>
      <c r="E53" s="9">
        <f>Assumptions!$B$6*(1+Assumptions!$B$7)^IF(B53&lt;=Assumptions!$B$9,B53-1,Assumptions!$B$9-1+Assumptions!$B$21*(B53-Assumptions!$B$9))</f>
        <v>36.016281919999997</v>
      </c>
      <c r="F53" s="66">
        <f>E53*Assumptions!$B$5/12*D53</f>
        <v>0</v>
      </c>
      <c r="G53" s="8">
        <f>-IF(A53&lt;=Assumptions!$B$12,F53,0)</f>
        <v>0</v>
      </c>
      <c r="H53" s="8">
        <f>Assumptions!$B$8*(1+Assumptions!$B$20)^(B53-1)*Assumptions!$B$5/12*D53</f>
        <v>0</v>
      </c>
      <c r="I53" s="8">
        <f t="shared" si="4"/>
        <v>0</v>
      </c>
      <c r="J53" s="20">
        <f>1/(1+Assumptions!$B$23/12)^A53</f>
        <v>0.71257388166366775</v>
      </c>
      <c r="K53" s="8">
        <f t="shared" si="5"/>
        <v>0</v>
      </c>
    </row>
    <row r="54" spans="1:11" x14ac:dyDescent="0.2">
      <c r="A54" s="7">
        <v>52</v>
      </c>
      <c r="B54" s="7">
        <f t="shared" si="3"/>
        <v>5</v>
      </c>
      <c r="C54" s="19" t="str">
        <f>IF(B54&lt;=Assumptions!$B$9,"Initial",IF(B54&lt;=Assumptions!$B$9+Assumptions!$B$11,"Option 1","Option 2"))</f>
        <v>Option 1</v>
      </c>
      <c r="D54" s="65">
        <f>IF(A54&lt;=Assumptions!$B$28,1,0)</f>
        <v>0</v>
      </c>
      <c r="E54" s="9">
        <f>Assumptions!$B$6*(1+Assumptions!$B$7)^IF(B54&lt;=Assumptions!$B$9,B54-1,Assumptions!$B$9-1+Assumptions!$B$21*(B54-Assumptions!$B$9))</f>
        <v>36.016281919999997</v>
      </c>
      <c r="F54" s="66">
        <f>E54*Assumptions!$B$5/12*D54</f>
        <v>0</v>
      </c>
      <c r="G54" s="8">
        <f>-IF(A54&lt;=Assumptions!$B$12,F54,0)</f>
        <v>0</v>
      </c>
      <c r="H54" s="8">
        <f>Assumptions!$B$8*(1+Assumptions!$B$20)^(B54-1)*Assumptions!$B$5/12*D54</f>
        <v>0</v>
      </c>
      <c r="I54" s="8">
        <f t="shared" si="4"/>
        <v>0</v>
      </c>
      <c r="J54" s="20">
        <f>1/(1+Assumptions!$B$23/12)^A54</f>
        <v>0.7078548493347695</v>
      </c>
      <c r="K54" s="8">
        <f t="shared" si="5"/>
        <v>0</v>
      </c>
    </row>
    <row r="55" spans="1:11" x14ac:dyDescent="0.2">
      <c r="A55" s="7">
        <v>53</v>
      </c>
      <c r="B55" s="7">
        <f t="shared" si="3"/>
        <v>5</v>
      </c>
      <c r="C55" s="19" t="str">
        <f>IF(B55&lt;=Assumptions!$B$9,"Initial",IF(B55&lt;=Assumptions!$B$9+Assumptions!$B$11,"Option 1","Option 2"))</f>
        <v>Option 1</v>
      </c>
      <c r="D55" s="65">
        <f>IF(A55&lt;=Assumptions!$B$28,1,0)</f>
        <v>0</v>
      </c>
      <c r="E55" s="9">
        <f>Assumptions!$B$6*(1+Assumptions!$B$7)^IF(B55&lt;=Assumptions!$B$9,B55-1,Assumptions!$B$9-1+Assumptions!$B$21*(B55-Assumptions!$B$9))</f>
        <v>36.016281919999997</v>
      </c>
      <c r="F55" s="66">
        <f>E55*Assumptions!$B$5/12*D55</f>
        <v>0</v>
      </c>
      <c r="G55" s="8">
        <f>-IF(A55&lt;=Assumptions!$B$12,F55,0)</f>
        <v>0</v>
      </c>
      <c r="H55" s="8">
        <f>Assumptions!$B$8*(1+Assumptions!$B$20)^(B55-1)*Assumptions!$B$5/12*D55</f>
        <v>0</v>
      </c>
      <c r="I55" s="8">
        <f t="shared" si="4"/>
        <v>0</v>
      </c>
      <c r="J55" s="20">
        <f>1/(1+Assumptions!$B$23/12)^A55</f>
        <v>0.70316706887559877</v>
      </c>
      <c r="K55" s="8">
        <f t="shared" si="5"/>
        <v>0</v>
      </c>
    </row>
    <row r="56" spans="1:11" x14ac:dyDescent="0.2">
      <c r="A56" s="7">
        <v>54</v>
      </c>
      <c r="B56" s="7">
        <f t="shared" si="3"/>
        <v>5</v>
      </c>
      <c r="C56" s="19" t="str">
        <f>IF(B56&lt;=Assumptions!$B$9,"Initial",IF(B56&lt;=Assumptions!$B$9+Assumptions!$B$11,"Option 1","Option 2"))</f>
        <v>Option 1</v>
      </c>
      <c r="D56" s="65">
        <f>IF(A56&lt;=Assumptions!$B$28,1,0)</f>
        <v>0</v>
      </c>
      <c r="E56" s="9">
        <f>Assumptions!$B$6*(1+Assumptions!$B$7)^IF(B56&lt;=Assumptions!$B$9,B56-1,Assumptions!$B$9-1+Assumptions!$B$21*(B56-Assumptions!$B$9))</f>
        <v>36.016281919999997</v>
      </c>
      <c r="F56" s="66">
        <f>E56*Assumptions!$B$5/12*D56</f>
        <v>0</v>
      </c>
      <c r="G56" s="8">
        <f>-IF(A56&lt;=Assumptions!$B$12,F56,0)</f>
        <v>0</v>
      </c>
      <c r="H56" s="8">
        <f>Assumptions!$B$8*(1+Assumptions!$B$20)^(B56-1)*Assumptions!$B$5/12*D56</f>
        <v>0</v>
      </c>
      <c r="I56" s="8">
        <f t="shared" si="4"/>
        <v>0</v>
      </c>
      <c r="J56" s="20">
        <f>1/(1+Assumptions!$B$23/12)^A56</f>
        <v>0.69851033332013124</v>
      </c>
      <c r="K56" s="8">
        <f t="shared" si="5"/>
        <v>0</v>
      </c>
    </row>
    <row r="57" spans="1:11" x14ac:dyDescent="0.2">
      <c r="A57" s="7">
        <v>55</v>
      </c>
      <c r="B57" s="7">
        <f t="shared" si="3"/>
        <v>5</v>
      </c>
      <c r="C57" s="19" t="str">
        <f>IF(B57&lt;=Assumptions!$B$9,"Initial",IF(B57&lt;=Assumptions!$B$9+Assumptions!$B$11,"Option 1","Option 2"))</f>
        <v>Option 1</v>
      </c>
      <c r="D57" s="65">
        <f>IF(A57&lt;=Assumptions!$B$28,1,0)</f>
        <v>0</v>
      </c>
      <c r="E57" s="9">
        <f>Assumptions!$B$6*(1+Assumptions!$B$7)^IF(B57&lt;=Assumptions!$B$9,B57-1,Assumptions!$B$9-1+Assumptions!$B$21*(B57-Assumptions!$B$9))</f>
        <v>36.016281919999997</v>
      </c>
      <c r="F57" s="66">
        <f>E57*Assumptions!$B$5/12*D57</f>
        <v>0</v>
      </c>
      <c r="G57" s="8">
        <f>-IF(A57&lt;=Assumptions!$B$12,F57,0)</f>
        <v>0</v>
      </c>
      <c r="H57" s="8">
        <f>Assumptions!$B$8*(1+Assumptions!$B$20)^(B57-1)*Assumptions!$B$5/12*D57</f>
        <v>0</v>
      </c>
      <c r="I57" s="8">
        <f t="shared" si="4"/>
        <v>0</v>
      </c>
      <c r="J57" s="20">
        <f>1/(1+Assumptions!$B$23/12)^A57</f>
        <v>0.6938844370729782</v>
      </c>
      <c r="K57" s="8">
        <f t="shared" si="5"/>
        <v>0</v>
      </c>
    </row>
    <row r="58" spans="1:11" x14ac:dyDescent="0.2">
      <c r="A58" s="7">
        <v>56</v>
      </c>
      <c r="B58" s="7">
        <f t="shared" si="3"/>
        <v>5</v>
      </c>
      <c r="C58" s="19" t="str">
        <f>IF(B58&lt;=Assumptions!$B$9,"Initial",IF(B58&lt;=Assumptions!$B$9+Assumptions!$B$11,"Option 1","Option 2"))</f>
        <v>Option 1</v>
      </c>
      <c r="D58" s="65">
        <f>IF(A58&lt;=Assumptions!$B$28,1,0)</f>
        <v>0</v>
      </c>
      <c r="E58" s="9">
        <f>Assumptions!$B$6*(1+Assumptions!$B$7)^IF(B58&lt;=Assumptions!$B$9,B58-1,Assumptions!$B$9-1+Assumptions!$B$21*(B58-Assumptions!$B$9))</f>
        <v>36.016281919999997</v>
      </c>
      <c r="F58" s="66">
        <f>E58*Assumptions!$B$5/12*D58</f>
        <v>0</v>
      </c>
      <c r="G58" s="8">
        <f>-IF(A58&lt;=Assumptions!$B$12,F58,0)</f>
        <v>0</v>
      </c>
      <c r="H58" s="8">
        <f>Assumptions!$B$8*(1+Assumptions!$B$20)^(B58-1)*Assumptions!$B$5/12*D58</f>
        <v>0</v>
      </c>
      <c r="I58" s="8">
        <f t="shared" si="4"/>
        <v>0</v>
      </c>
      <c r="J58" s="20">
        <f>1/(1+Assumptions!$B$23/12)^A58</f>
        <v>0.68928917590030936</v>
      </c>
      <c r="K58" s="8">
        <f t="shared" si="5"/>
        <v>0</v>
      </c>
    </row>
    <row r="59" spans="1:11" x14ac:dyDescent="0.2">
      <c r="A59" s="7">
        <v>57</v>
      </c>
      <c r="B59" s="7">
        <f t="shared" si="3"/>
        <v>5</v>
      </c>
      <c r="C59" s="19" t="str">
        <f>IF(B59&lt;=Assumptions!$B$9,"Initial",IF(B59&lt;=Assumptions!$B$9+Assumptions!$B$11,"Option 1","Option 2"))</f>
        <v>Option 1</v>
      </c>
      <c r="D59" s="65">
        <f>IF(A59&lt;=Assumptions!$B$28,1,0)</f>
        <v>0</v>
      </c>
      <c r="E59" s="9">
        <f>Assumptions!$B$6*(1+Assumptions!$B$7)^IF(B59&lt;=Assumptions!$B$9,B59-1,Assumptions!$B$9-1+Assumptions!$B$21*(B59-Assumptions!$B$9))</f>
        <v>36.016281919999997</v>
      </c>
      <c r="F59" s="66">
        <f>E59*Assumptions!$B$5/12*D59</f>
        <v>0</v>
      </c>
      <c r="G59" s="8">
        <f>-IF(A59&lt;=Assumptions!$B$12,F59,0)</f>
        <v>0</v>
      </c>
      <c r="H59" s="8">
        <f>Assumptions!$B$8*(1+Assumptions!$B$20)^(B59-1)*Assumptions!$B$5/12*D59</f>
        <v>0</v>
      </c>
      <c r="I59" s="8">
        <f t="shared" si="4"/>
        <v>0</v>
      </c>
      <c r="J59" s="20">
        <f>1/(1+Assumptions!$B$23/12)^A59</f>
        <v>0.68472434692083728</v>
      </c>
      <c r="K59" s="8">
        <f t="shared" si="5"/>
        <v>0</v>
      </c>
    </row>
    <row r="60" spans="1:11" x14ac:dyDescent="0.2">
      <c r="A60" s="7">
        <v>58</v>
      </c>
      <c r="B60" s="7">
        <f t="shared" si="3"/>
        <v>5</v>
      </c>
      <c r="C60" s="19" t="str">
        <f>IF(B60&lt;=Assumptions!$B$9,"Initial",IF(B60&lt;=Assumptions!$B$9+Assumptions!$B$11,"Option 1","Option 2"))</f>
        <v>Option 1</v>
      </c>
      <c r="D60" s="65">
        <f>IF(A60&lt;=Assumptions!$B$28,1,0)</f>
        <v>0</v>
      </c>
      <c r="E60" s="9">
        <f>Assumptions!$B$6*(1+Assumptions!$B$7)^IF(B60&lt;=Assumptions!$B$9,B60-1,Assumptions!$B$9-1+Assumptions!$B$21*(B60-Assumptions!$B$9))</f>
        <v>36.016281919999997</v>
      </c>
      <c r="F60" s="66">
        <f>E60*Assumptions!$B$5/12*D60</f>
        <v>0</v>
      </c>
      <c r="G60" s="8">
        <f>-IF(A60&lt;=Assumptions!$B$12,F60,0)</f>
        <v>0</v>
      </c>
      <c r="H60" s="8">
        <f>Assumptions!$B$8*(1+Assumptions!$B$20)^(B60-1)*Assumptions!$B$5/12*D60</f>
        <v>0</v>
      </c>
      <c r="I60" s="8">
        <f t="shared" si="4"/>
        <v>0</v>
      </c>
      <c r="J60" s="20">
        <f>1/(1+Assumptions!$B$23/12)^A60</f>
        <v>0.68018974859685821</v>
      </c>
      <c r="K60" s="8">
        <f t="shared" si="5"/>
        <v>0</v>
      </c>
    </row>
    <row r="61" spans="1:11" x14ac:dyDescent="0.2">
      <c r="A61" s="7">
        <v>59</v>
      </c>
      <c r="B61" s="7">
        <f t="shared" si="3"/>
        <v>5</v>
      </c>
      <c r="C61" s="19" t="str">
        <f>IF(B61&lt;=Assumptions!$B$9,"Initial",IF(B61&lt;=Assumptions!$B$9+Assumptions!$B$11,"Option 1","Option 2"))</f>
        <v>Option 1</v>
      </c>
      <c r="D61" s="65">
        <f>IF(A61&lt;=Assumptions!$B$28,1,0)</f>
        <v>0</v>
      </c>
      <c r="E61" s="9">
        <f>Assumptions!$B$6*(1+Assumptions!$B$7)^IF(B61&lt;=Assumptions!$B$9,B61-1,Assumptions!$B$9-1+Assumptions!$B$21*(B61-Assumptions!$B$9))</f>
        <v>36.016281919999997</v>
      </c>
      <c r="F61" s="66">
        <f>E61*Assumptions!$B$5/12*D61</f>
        <v>0</v>
      </c>
      <c r="G61" s="8">
        <f>-IF(A61&lt;=Assumptions!$B$12,F61,0)</f>
        <v>0</v>
      </c>
      <c r="H61" s="8">
        <f>Assumptions!$B$8*(1+Assumptions!$B$20)^(B61-1)*Assumptions!$B$5/12*D61</f>
        <v>0</v>
      </c>
      <c r="I61" s="8">
        <f t="shared" si="4"/>
        <v>0</v>
      </c>
      <c r="J61" s="20">
        <f>1/(1+Assumptions!$B$23/12)^A61</f>
        <v>0.67568518072535588</v>
      </c>
      <c r="K61" s="8">
        <f t="shared" si="5"/>
        <v>0</v>
      </c>
    </row>
    <row r="62" spans="1:11" x14ac:dyDescent="0.2">
      <c r="A62" s="7">
        <v>60</v>
      </c>
      <c r="B62" s="7">
        <f t="shared" si="3"/>
        <v>5</v>
      </c>
      <c r="C62" s="19" t="str">
        <f>IF(B62&lt;=Assumptions!$B$9,"Initial",IF(B62&lt;=Assumptions!$B$9+Assumptions!$B$11,"Option 1","Option 2"))</f>
        <v>Option 1</v>
      </c>
      <c r="D62" s="65">
        <f>IF(A62&lt;=Assumptions!$B$28,1,0)</f>
        <v>0</v>
      </c>
      <c r="E62" s="9">
        <f>Assumptions!$B$6*(1+Assumptions!$B$7)^IF(B62&lt;=Assumptions!$B$9,B62-1,Assumptions!$B$9-1+Assumptions!$B$21*(B62-Assumptions!$B$9))</f>
        <v>36.016281919999997</v>
      </c>
      <c r="F62" s="66">
        <f>E62*Assumptions!$B$5/12*D62</f>
        <v>0</v>
      </c>
      <c r="G62" s="8">
        <f>-IF(A62&lt;=Assumptions!$B$12,F62,0)</f>
        <v>0</v>
      </c>
      <c r="H62" s="8">
        <f>Assumptions!$B$8*(1+Assumptions!$B$20)^(B62-1)*Assumptions!$B$5/12*D62</f>
        <v>0</v>
      </c>
      <c r="I62" s="8">
        <f t="shared" si="4"/>
        <v>0</v>
      </c>
      <c r="J62" s="20">
        <f>1/(1+Assumptions!$B$23/12)^A62</f>
        <v>0.67121044442916156</v>
      </c>
      <c r="K62" s="8">
        <f t="shared" si="5"/>
        <v>0</v>
      </c>
    </row>
    <row r="63" spans="1:11" x14ac:dyDescent="0.2">
      <c r="A63" s="7">
        <v>61</v>
      </c>
      <c r="B63" s="7">
        <f t="shared" si="3"/>
        <v>6</v>
      </c>
      <c r="C63" s="19" t="str">
        <f>IF(B63&lt;=Assumptions!$B$9,"Initial",IF(B63&lt;=Assumptions!$B$9+Assumptions!$B$11,"Option 1","Option 2"))</f>
        <v>Option 1</v>
      </c>
      <c r="D63" s="65">
        <f>IF(A63&lt;=Assumptions!$B$28,1,0)</f>
        <v>0</v>
      </c>
      <c r="E63" s="9">
        <f>Assumptions!$B$6*(1+Assumptions!$B$7)^IF(B63&lt;=Assumptions!$B$9,B63-1,Assumptions!$B$9-1+Assumptions!$B$21*(B63-Assumptions!$B$9))</f>
        <v>37.096770377599995</v>
      </c>
      <c r="F63" s="66">
        <f>E63*Assumptions!$B$5/12*D63</f>
        <v>0</v>
      </c>
      <c r="G63" s="8">
        <f>-IF(A63&lt;=Assumptions!$B$12,F63,0)</f>
        <v>0</v>
      </c>
      <c r="H63" s="8">
        <f>Assumptions!$B$8*(1+Assumptions!$B$20)^(B63-1)*Assumptions!$B$5/12*D63</f>
        <v>0</v>
      </c>
      <c r="I63" s="8">
        <f t="shared" si="4"/>
        <v>0</v>
      </c>
      <c r="J63" s="20">
        <f>1/(1+Assumptions!$B$23/12)^A63</f>
        <v>0.66676534214817362</v>
      </c>
      <c r="K63" s="8">
        <f t="shared" si="5"/>
        <v>0</v>
      </c>
    </row>
    <row r="64" spans="1:11" x14ac:dyDescent="0.2">
      <c r="A64" s="7">
        <v>62</v>
      </c>
      <c r="B64" s="7">
        <f t="shared" si="3"/>
        <v>6</v>
      </c>
      <c r="C64" s="19" t="str">
        <f>IF(B64&lt;=Assumptions!$B$9,"Initial",IF(B64&lt;=Assumptions!$B$9+Assumptions!$B$11,"Option 1","Option 2"))</f>
        <v>Option 1</v>
      </c>
      <c r="D64" s="65">
        <f>IF(A64&lt;=Assumptions!$B$28,1,0)</f>
        <v>0</v>
      </c>
      <c r="E64" s="9">
        <f>Assumptions!$B$6*(1+Assumptions!$B$7)^IF(B64&lt;=Assumptions!$B$9,B64-1,Assumptions!$B$9-1+Assumptions!$B$21*(B64-Assumptions!$B$9))</f>
        <v>37.096770377599995</v>
      </c>
      <c r="F64" s="66">
        <f>E64*Assumptions!$B$5/12*D64</f>
        <v>0</v>
      </c>
      <c r="G64" s="8">
        <f>-IF(A64&lt;=Assumptions!$B$12,F64,0)</f>
        <v>0</v>
      </c>
      <c r="H64" s="8">
        <f>Assumptions!$B$8*(1+Assumptions!$B$20)^(B64-1)*Assumptions!$B$5/12*D64</f>
        <v>0</v>
      </c>
      <c r="I64" s="8">
        <f t="shared" si="4"/>
        <v>0</v>
      </c>
      <c r="J64" s="20">
        <f>1/(1+Assumptions!$B$23/12)^A64</f>
        <v>0.66234967763063624</v>
      </c>
      <c r="K64" s="8">
        <f t="shared" si="5"/>
        <v>0</v>
      </c>
    </row>
    <row r="65" spans="1:11" x14ac:dyDescent="0.2">
      <c r="A65" s="7">
        <v>63</v>
      </c>
      <c r="B65" s="7">
        <f t="shared" si="3"/>
        <v>6</v>
      </c>
      <c r="C65" s="19" t="str">
        <f>IF(B65&lt;=Assumptions!$B$9,"Initial",IF(B65&lt;=Assumptions!$B$9+Assumptions!$B$11,"Option 1","Option 2"))</f>
        <v>Option 1</v>
      </c>
      <c r="D65" s="65">
        <f>IF(A65&lt;=Assumptions!$B$28,1,0)</f>
        <v>0</v>
      </c>
      <c r="E65" s="9">
        <f>Assumptions!$B$6*(1+Assumptions!$B$7)^IF(B65&lt;=Assumptions!$B$9,B65-1,Assumptions!$B$9-1+Assumptions!$B$21*(B65-Assumptions!$B$9))</f>
        <v>37.096770377599995</v>
      </c>
      <c r="F65" s="66">
        <f>E65*Assumptions!$B$5/12*D65</f>
        <v>0</v>
      </c>
      <c r="G65" s="8">
        <f>-IF(A65&lt;=Assumptions!$B$12,F65,0)</f>
        <v>0</v>
      </c>
      <c r="H65" s="8">
        <f>Assumptions!$B$8*(1+Assumptions!$B$20)^(B65-1)*Assumptions!$B$5/12*D65</f>
        <v>0</v>
      </c>
      <c r="I65" s="8">
        <f t="shared" si="4"/>
        <v>0</v>
      </c>
      <c r="J65" s="20">
        <f>1/(1+Assumptions!$B$23/12)^A65</f>
        <v>0.65796325592447313</v>
      </c>
      <c r="K65" s="8">
        <f t="shared" si="5"/>
        <v>0</v>
      </c>
    </row>
    <row r="66" spans="1:11" x14ac:dyDescent="0.2">
      <c r="A66" s="7">
        <v>64</v>
      </c>
      <c r="B66" s="7">
        <f t="shared" si="3"/>
        <v>6</v>
      </c>
      <c r="C66" s="19" t="str">
        <f>IF(B66&lt;=Assumptions!$B$9,"Initial",IF(B66&lt;=Assumptions!$B$9+Assumptions!$B$11,"Option 1","Option 2"))</f>
        <v>Option 1</v>
      </c>
      <c r="D66" s="65">
        <f>IF(A66&lt;=Assumptions!$B$28,1,0)</f>
        <v>0</v>
      </c>
      <c r="E66" s="9">
        <f>Assumptions!$B$6*(1+Assumptions!$B$7)^IF(B66&lt;=Assumptions!$B$9,B66-1,Assumptions!$B$9-1+Assumptions!$B$21*(B66-Assumptions!$B$9))</f>
        <v>37.096770377599995</v>
      </c>
      <c r="F66" s="66">
        <f>E66*Assumptions!$B$5/12*D66</f>
        <v>0</v>
      </c>
      <c r="G66" s="8">
        <f>-IF(A66&lt;=Assumptions!$B$12,F66,0)</f>
        <v>0</v>
      </c>
      <c r="H66" s="8">
        <f>Assumptions!$B$8*(1+Assumptions!$B$20)^(B66-1)*Assumptions!$B$5/12*D66</f>
        <v>0</v>
      </c>
      <c r="I66" s="8">
        <f t="shared" si="4"/>
        <v>0</v>
      </c>
      <c r="J66" s="20">
        <f>1/(1+Assumptions!$B$23/12)^A66</f>
        <v>0.65360588336868197</v>
      </c>
      <c r="K66" s="8">
        <f t="shared" si="5"/>
        <v>0</v>
      </c>
    </row>
    <row r="67" spans="1:11" x14ac:dyDescent="0.2">
      <c r="A67" s="7">
        <v>65</v>
      </c>
      <c r="B67" s="7">
        <f t="shared" ref="B67:B98" si="6">ROUNDUP(A67/12,0)</f>
        <v>6</v>
      </c>
      <c r="C67" s="19" t="str">
        <f>IF(B67&lt;=Assumptions!$B$9,"Initial",IF(B67&lt;=Assumptions!$B$9+Assumptions!$B$11,"Option 1","Option 2"))</f>
        <v>Option 1</v>
      </c>
      <c r="D67" s="65">
        <f>IF(A67&lt;=Assumptions!$B$28,1,0)</f>
        <v>0</v>
      </c>
      <c r="E67" s="9">
        <f>Assumptions!$B$6*(1+Assumptions!$B$7)^IF(B67&lt;=Assumptions!$B$9,B67-1,Assumptions!$B$9-1+Assumptions!$B$21*(B67-Assumptions!$B$9))</f>
        <v>37.096770377599995</v>
      </c>
      <c r="F67" s="66">
        <f>E67*Assumptions!$B$5/12*D67</f>
        <v>0</v>
      </c>
      <c r="G67" s="8">
        <f>-IF(A67&lt;=Assumptions!$B$12,F67,0)</f>
        <v>0</v>
      </c>
      <c r="H67" s="8">
        <f>Assumptions!$B$8*(1+Assumptions!$B$20)^(B67-1)*Assumptions!$B$5/12*D67</f>
        <v>0</v>
      </c>
      <c r="I67" s="8">
        <f t="shared" ref="I67:I98" si="7">F67+G67+H67</f>
        <v>0</v>
      </c>
      <c r="J67" s="20">
        <f>1/(1+Assumptions!$B$23/12)^A67</f>
        <v>0.64927736758478338</v>
      </c>
      <c r="K67" s="8">
        <f t="shared" ref="K67:K98" si="8">I67*J67</f>
        <v>0</v>
      </c>
    </row>
    <row r="68" spans="1:11" x14ac:dyDescent="0.2">
      <c r="A68" s="7">
        <v>66</v>
      </c>
      <c r="B68" s="7">
        <f t="shared" si="6"/>
        <v>6</v>
      </c>
      <c r="C68" s="19" t="str">
        <f>IF(B68&lt;=Assumptions!$B$9,"Initial",IF(B68&lt;=Assumptions!$B$9+Assumptions!$B$11,"Option 1","Option 2"))</f>
        <v>Option 1</v>
      </c>
      <c r="D68" s="65">
        <f>IF(A68&lt;=Assumptions!$B$28,1,0)</f>
        <v>0</v>
      </c>
      <c r="E68" s="9">
        <f>Assumptions!$B$6*(1+Assumptions!$B$7)^IF(B68&lt;=Assumptions!$B$9,B68-1,Assumptions!$B$9-1+Assumptions!$B$21*(B68-Assumptions!$B$9))</f>
        <v>37.096770377599995</v>
      </c>
      <c r="F68" s="66">
        <f>E68*Assumptions!$B$5/12*D68</f>
        <v>0</v>
      </c>
      <c r="G68" s="8">
        <f>-IF(A68&lt;=Assumptions!$B$12,F68,0)</f>
        <v>0</v>
      </c>
      <c r="H68" s="8">
        <f>Assumptions!$B$8*(1+Assumptions!$B$20)^(B68-1)*Assumptions!$B$5/12*D68</f>
        <v>0</v>
      </c>
      <c r="I68" s="8">
        <f t="shared" si="7"/>
        <v>0</v>
      </c>
      <c r="J68" s="20">
        <f>1/(1+Assumptions!$B$23/12)^A68</f>
        <v>0.64497751746832788</v>
      </c>
      <c r="K68" s="8">
        <f t="shared" si="8"/>
        <v>0</v>
      </c>
    </row>
    <row r="69" spans="1:11" x14ac:dyDescent="0.2">
      <c r="A69" s="7">
        <v>67</v>
      </c>
      <c r="B69" s="7">
        <f t="shared" si="6"/>
        <v>6</v>
      </c>
      <c r="C69" s="19" t="str">
        <f>IF(B69&lt;=Assumptions!$B$9,"Initial",IF(B69&lt;=Assumptions!$B$9+Assumptions!$B$11,"Option 1","Option 2"))</f>
        <v>Option 1</v>
      </c>
      <c r="D69" s="65">
        <f>IF(A69&lt;=Assumptions!$B$28,1,0)</f>
        <v>0</v>
      </c>
      <c r="E69" s="9">
        <f>Assumptions!$B$6*(1+Assumptions!$B$7)^IF(B69&lt;=Assumptions!$B$9,B69-1,Assumptions!$B$9-1+Assumptions!$B$21*(B69-Assumptions!$B$9))</f>
        <v>37.096770377599995</v>
      </c>
      <c r="F69" s="66">
        <f>E69*Assumptions!$B$5/12*D69</f>
        <v>0</v>
      </c>
      <c r="G69" s="8">
        <f>-IF(A69&lt;=Assumptions!$B$12,F69,0)</f>
        <v>0</v>
      </c>
      <c r="H69" s="8">
        <f>Assumptions!$B$8*(1+Assumptions!$B$20)^(B69-1)*Assumptions!$B$5/12*D69</f>
        <v>0</v>
      </c>
      <c r="I69" s="8">
        <f t="shared" si="7"/>
        <v>0</v>
      </c>
      <c r="J69" s="20">
        <f>1/(1+Assumptions!$B$23/12)^A69</f>
        <v>0.64070614318045827</v>
      </c>
      <c r="K69" s="8">
        <f t="shared" si="8"/>
        <v>0</v>
      </c>
    </row>
    <row r="70" spans="1:11" x14ac:dyDescent="0.2">
      <c r="A70" s="7">
        <v>68</v>
      </c>
      <c r="B70" s="7">
        <f t="shared" si="6"/>
        <v>6</v>
      </c>
      <c r="C70" s="19" t="str">
        <f>IF(B70&lt;=Assumptions!$B$9,"Initial",IF(B70&lt;=Assumptions!$B$9+Assumptions!$B$11,"Option 1","Option 2"))</f>
        <v>Option 1</v>
      </c>
      <c r="D70" s="65">
        <f>IF(A70&lt;=Assumptions!$B$28,1,0)</f>
        <v>0</v>
      </c>
      <c r="E70" s="9">
        <f>Assumptions!$B$6*(1+Assumptions!$B$7)^IF(B70&lt;=Assumptions!$B$9,B70-1,Assumptions!$B$9-1+Assumptions!$B$21*(B70-Assumptions!$B$9))</f>
        <v>37.096770377599995</v>
      </c>
      <c r="F70" s="66">
        <f>E70*Assumptions!$B$5/12*D70</f>
        <v>0</v>
      </c>
      <c r="G70" s="8">
        <f>-IF(A70&lt;=Assumptions!$B$12,F70,0)</f>
        <v>0</v>
      </c>
      <c r="H70" s="8">
        <f>Assumptions!$B$8*(1+Assumptions!$B$20)^(B70-1)*Assumptions!$B$5/12*D70</f>
        <v>0</v>
      </c>
      <c r="I70" s="8">
        <f t="shared" si="7"/>
        <v>0</v>
      </c>
      <c r="J70" s="20">
        <f>1/(1+Assumptions!$B$23/12)^A70</f>
        <v>0.63646305613952814</v>
      </c>
      <c r="K70" s="8">
        <f t="shared" si="8"/>
        <v>0</v>
      </c>
    </row>
    <row r="71" spans="1:11" x14ac:dyDescent="0.2">
      <c r="A71" s="7">
        <v>69</v>
      </c>
      <c r="B71" s="7">
        <f t="shared" si="6"/>
        <v>6</v>
      </c>
      <c r="C71" s="19" t="str">
        <f>IF(B71&lt;=Assumptions!$B$9,"Initial",IF(B71&lt;=Assumptions!$B$9+Assumptions!$B$11,"Option 1","Option 2"))</f>
        <v>Option 1</v>
      </c>
      <c r="D71" s="65">
        <f>IF(A71&lt;=Assumptions!$B$28,1,0)</f>
        <v>0</v>
      </c>
      <c r="E71" s="9">
        <f>Assumptions!$B$6*(1+Assumptions!$B$7)^IF(B71&lt;=Assumptions!$B$9,B71-1,Assumptions!$B$9-1+Assumptions!$B$21*(B71-Assumptions!$B$9))</f>
        <v>37.096770377599995</v>
      </c>
      <c r="F71" s="66">
        <f>E71*Assumptions!$B$5/12*D71</f>
        <v>0</v>
      </c>
      <c r="G71" s="8">
        <f>-IF(A71&lt;=Assumptions!$B$12,F71,0)</f>
        <v>0</v>
      </c>
      <c r="H71" s="8">
        <f>Assumptions!$B$8*(1+Assumptions!$B$20)^(B71-1)*Assumptions!$B$5/12*D71</f>
        <v>0</v>
      </c>
      <c r="I71" s="8">
        <f t="shared" si="7"/>
        <v>0</v>
      </c>
      <c r="J71" s="20">
        <f>1/(1+Assumptions!$B$23/12)^A71</f>
        <v>0.6322480690127763</v>
      </c>
      <c r="K71" s="8">
        <f t="shared" si="8"/>
        <v>0</v>
      </c>
    </row>
    <row r="72" spans="1:11" x14ac:dyDescent="0.2">
      <c r="A72" s="7">
        <v>70</v>
      </c>
      <c r="B72" s="7">
        <f t="shared" si="6"/>
        <v>6</v>
      </c>
      <c r="C72" s="19" t="str">
        <f>IF(B72&lt;=Assumptions!$B$9,"Initial",IF(B72&lt;=Assumptions!$B$9+Assumptions!$B$11,"Option 1","Option 2"))</f>
        <v>Option 1</v>
      </c>
      <c r="D72" s="65">
        <f>IF(A72&lt;=Assumptions!$B$28,1,0)</f>
        <v>0</v>
      </c>
      <c r="E72" s="9">
        <f>Assumptions!$B$6*(1+Assumptions!$B$7)^IF(B72&lt;=Assumptions!$B$9,B72-1,Assumptions!$B$9-1+Assumptions!$B$21*(B72-Assumptions!$B$9))</f>
        <v>37.096770377599995</v>
      </c>
      <c r="F72" s="66">
        <f>E72*Assumptions!$B$5/12*D72</f>
        <v>0</v>
      </c>
      <c r="G72" s="8">
        <f>-IF(A72&lt;=Assumptions!$B$12,F72,0)</f>
        <v>0</v>
      </c>
      <c r="H72" s="8">
        <f>Assumptions!$B$8*(1+Assumptions!$B$20)^(B72-1)*Assumptions!$B$5/12*D72</f>
        <v>0</v>
      </c>
      <c r="I72" s="8">
        <f t="shared" si="7"/>
        <v>0</v>
      </c>
      <c r="J72" s="20">
        <f>1/(1+Assumptions!$B$23/12)^A72</f>
        <v>0.62806099570805585</v>
      </c>
      <c r="K72" s="8">
        <f t="shared" si="8"/>
        <v>0</v>
      </c>
    </row>
    <row r="73" spans="1:11" x14ac:dyDescent="0.2">
      <c r="A73" s="7">
        <v>71</v>
      </c>
      <c r="B73" s="7">
        <f t="shared" si="6"/>
        <v>6</v>
      </c>
      <c r="C73" s="19" t="str">
        <f>IF(B73&lt;=Assumptions!$B$9,"Initial",IF(B73&lt;=Assumptions!$B$9+Assumptions!$B$11,"Option 1","Option 2"))</f>
        <v>Option 1</v>
      </c>
      <c r="D73" s="65">
        <f>IF(A73&lt;=Assumptions!$B$28,1,0)</f>
        <v>0</v>
      </c>
      <c r="E73" s="9">
        <f>Assumptions!$B$6*(1+Assumptions!$B$7)^IF(B73&lt;=Assumptions!$B$9,B73-1,Assumptions!$B$9-1+Assumptions!$B$21*(B73-Assumptions!$B$9))</f>
        <v>37.096770377599995</v>
      </c>
      <c r="F73" s="66">
        <f>E73*Assumptions!$B$5/12*D73</f>
        <v>0</v>
      </c>
      <c r="G73" s="8">
        <f>-IF(A73&lt;=Assumptions!$B$12,F73,0)</f>
        <v>0</v>
      </c>
      <c r="H73" s="8">
        <f>Assumptions!$B$8*(1+Assumptions!$B$20)^(B73-1)*Assumptions!$B$5/12*D73</f>
        <v>0</v>
      </c>
      <c r="I73" s="8">
        <f t="shared" si="7"/>
        <v>0</v>
      </c>
      <c r="J73" s="20">
        <f>1/(1+Assumptions!$B$23/12)^A73</f>
        <v>0.62390165136561848</v>
      </c>
      <c r="K73" s="8">
        <f t="shared" si="8"/>
        <v>0</v>
      </c>
    </row>
    <row r="74" spans="1:11" x14ac:dyDescent="0.2">
      <c r="A74" s="7">
        <v>72</v>
      </c>
      <c r="B74" s="7">
        <f t="shared" si="6"/>
        <v>6</v>
      </c>
      <c r="C74" s="19" t="str">
        <f>IF(B74&lt;=Assumptions!$B$9,"Initial",IF(B74&lt;=Assumptions!$B$9+Assumptions!$B$11,"Option 1","Option 2"))</f>
        <v>Option 1</v>
      </c>
      <c r="D74" s="65">
        <f>IF(A74&lt;=Assumptions!$B$28,1,0)</f>
        <v>0</v>
      </c>
      <c r="E74" s="9">
        <f>Assumptions!$B$6*(1+Assumptions!$B$7)^IF(B74&lt;=Assumptions!$B$9,B74-1,Assumptions!$B$9-1+Assumptions!$B$21*(B74-Assumptions!$B$9))</f>
        <v>37.096770377599995</v>
      </c>
      <c r="F74" s="66">
        <f>E74*Assumptions!$B$5/12*D74</f>
        <v>0</v>
      </c>
      <c r="G74" s="8">
        <f>-IF(A74&lt;=Assumptions!$B$12,F74,0)</f>
        <v>0</v>
      </c>
      <c r="H74" s="8">
        <f>Assumptions!$B$8*(1+Assumptions!$B$20)^(B74-1)*Assumptions!$B$5/12*D74</f>
        <v>0</v>
      </c>
      <c r="I74" s="8">
        <f t="shared" si="7"/>
        <v>0</v>
      </c>
      <c r="J74" s="20">
        <f>1/(1+Assumptions!$B$23/12)^A74</f>
        <v>0.61976985234995219</v>
      </c>
      <c r="K74" s="8">
        <f t="shared" si="8"/>
        <v>0</v>
      </c>
    </row>
    <row r="75" spans="1:11" x14ac:dyDescent="0.2">
      <c r="A75" s="7">
        <v>73</v>
      </c>
      <c r="B75" s="7">
        <f t="shared" si="6"/>
        <v>7</v>
      </c>
      <c r="C75" s="19" t="str">
        <f>IF(B75&lt;=Assumptions!$B$9,"Initial",IF(B75&lt;=Assumptions!$B$9+Assumptions!$B$11,"Option 1","Option 2"))</f>
        <v>Option 2</v>
      </c>
      <c r="D75" s="65">
        <f>IF(A75&lt;=Assumptions!$B$28,1,0)</f>
        <v>0</v>
      </c>
      <c r="E75" s="9">
        <f>Assumptions!$B$6*(1+Assumptions!$B$7)^IF(B75&lt;=Assumptions!$B$9,B75-1,Assumptions!$B$9-1+Assumptions!$B$21*(B75-Assumptions!$B$9))</f>
        <v>38.209673488927997</v>
      </c>
      <c r="F75" s="66">
        <f>E75*Assumptions!$B$5/12*D75</f>
        <v>0</v>
      </c>
      <c r="G75" s="8">
        <f>-IF(A75&lt;=Assumptions!$B$12,F75,0)</f>
        <v>0</v>
      </c>
      <c r="H75" s="8">
        <f>Assumptions!$B$8*(1+Assumptions!$B$20)^(B75-1)*Assumptions!$B$5/12*D75</f>
        <v>0</v>
      </c>
      <c r="I75" s="8">
        <f t="shared" si="7"/>
        <v>0</v>
      </c>
      <c r="J75" s="20">
        <f>1/(1+Assumptions!$B$23/12)^A75</f>
        <v>0.61566541624167448</v>
      </c>
      <c r="K75" s="8">
        <f t="shared" si="8"/>
        <v>0</v>
      </c>
    </row>
    <row r="76" spans="1:11" x14ac:dyDescent="0.2">
      <c r="A76" s="7">
        <v>74</v>
      </c>
      <c r="B76" s="7">
        <f t="shared" si="6"/>
        <v>7</v>
      </c>
      <c r="C76" s="19" t="str">
        <f>IF(B76&lt;=Assumptions!$B$9,"Initial",IF(B76&lt;=Assumptions!$B$9+Assumptions!$B$11,"Option 1","Option 2"))</f>
        <v>Option 2</v>
      </c>
      <c r="D76" s="65">
        <f>IF(A76&lt;=Assumptions!$B$28,1,0)</f>
        <v>0</v>
      </c>
      <c r="E76" s="9">
        <f>Assumptions!$B$6*(1+Assumptions!$B$7)^IF(B76&lt;=Assumptions!$B$9,B76-1,Assumptions!$B$9-1+Assumptions!$B$21*(B76-Assumptions!$B$9))</f>
        <v>38.209673488927997</v>
      </c>
      <c r="F76" s="66">
        <f>E76*Assumptions!$B$5/12*D76</f>
        <v>0</v>
      </c>
      <c r="G76" s="8">
        <f>-IF(A76&lt;=Assumptions!$B$12,F76,0)</f>
        <v>0</v>
      </c>
      <c r="H76" s="8">
        <f>Assumptions!$B$8*(1+Assumptions!$B$20)^(B76-1)*Assumptions!$B$5/12*D76</f>
        <v>0</v>
      </c>
      <c r="I76" s="8">
        <f t="shared" si="7"/>
        <v>0</v>
      </c>
      <c r="J76" s="20">
        <f>1/(1+Assumptions!$B$23/12)^A76</f>
        <v>0.61158816182947795</v>
      </c>
      <c r="K76" s="8">
        <f t="shared" si="8"/>
        <v>0</v>
      </c>
    </row>
    <row r="77" spans="1:11" x14ac:dyDescent="0.2">
      <c r="A77" s="7">
        <v>75</v>
      </c>
      <c r="B77" s="7">
        <f t="shared" si="6"/>
        <v>7</v>
      </c>
      <c r="C77" s="19" t="str">
        <f>IF(B77&lt;=Assumptions!$B$9,"Initial",IF(B77&lt;=Assumptions!$B$9+Assumptions!$B$11,"Option 1","Option 2"))</f>
        <v>Option 2</v>
      </c>
      <c r="D77" s="65">
        <f>IF(A77&lt;=Assumptions!$B$28,1,0)</f>
        <v>0</v>
      </c>
      <c r="E77" s="9">
        <f>Assumptions!$B$6*(1+Assumptions!$B$7)^IF(B77&lt;=Assumptions!$B$9,B77-1,Assumptions!$B$9-1+Assumptions!$B$21*(B77-Assumptions!$B$9))</f>
        <v>38.209673488927997</v>
      </c>
      <c r="F77" s="66">
        <f>E77*Assumptions!$B$5/12*D77</f>
        <v>0</v>
      </c>
      <c r="G77" s="8">
        <f>-IF(A77&lt;=Assumptions!$B$12,F77,0)</f>
        <v>0</v>
      </c>
      <c r="H77" s="8">
        <f>Assumptions!$B$8*(1+Assumptions!$B$20)^(B77-1)*Assumptions!$B$5/12*D77</f>
        <v>0</v>
      </c>
      <c r="I77" s="8">
        <f t="shared" si="7"/>
        <v>0</v>
      </c>
      <c r="J77" s="20">
        <f>1/(1+Assumptions!$B$23/12)^A77</f>
        <v>0.60753790910213046</v>
      </c>
      <c r="K77" s="8">
        <f t="shared" si="8"/>
        <v>0</v>
      </c>
    </row>
    <row r="78" spans="1:11" x14ac:dyDescent="0.2">
      <c r="A78" s="7">
        <v>76</v>
      </c>
      <c r="B78" s="7">
        <f t="shared" si="6"/>
        <v>7</v>
      </c>
      <c r="C78" s="19" t="str">
        <f>IF(B78&lt;=Assumptions!$B$9,"Initial",IF(B78&lt;=Assumptions!$B$9+Assumptions!$B$11,"Option 1","Option 2"))</f>
        <v>Option 2</v>
      </c>
      <c r="D78" s="65">
        <f>IF(A78&lt;=Assumptions!$B$28,1,0)</f>
        <v>0</v>
      </c>
      <c r="E78" s="9">
        <f>Assumptions!$B$6*(1+Assumptions!$B$7)^IF(B78&lt;=Assumptions!$B$9,B78-1,Assumptions!$B$9-1+Assumptions!$B$21*(B78-Assumptions!$B$9))</f>
        <v>38.209673488927997</v>
      </c>
      <c r="F78" s="66">
        <f>E78*Assumptions!$B$5/12*D78</f>
        <v>0</v>
      </c>
      <c r="G78" s="8">
        <f>-IF(A78&lt;=Assumptions!$B$12,F78,0)</f>
        <v>0</v>
      </c>
      <c r="H78" s="8">
        <f>Assumptions!$B$8*(1+Assumptions!$B$20)^(B78-1)*Assumptions!$B$5/12*D78</f>
        <v>0</v>
      </c>
      <c r="I78" s="8">
        <f t="shared" si="7"/>
        <v>0</v>
      </c>
      <c r="J78" s="20">
        <f>1/(1+Assumptions!$B$23/12)^A78</f>
        <v>0.60351447924052692</v>
      </c>
      <c r="K78" s="8">
        <f t="shared" si="8"/>
        <v>0</v>
      </c>
    </row>
    <row r="79" spans="1:11" x14ac:dyDescent="0.2">
      <c r="A79" s="7">
        <v>77</v>
      </c>
      <c r="B79" s="7">
        <f t="shared" si="6"/>
        <v>7</v>
      </c>
      <c r="C79" s="19" t="str">
        <f>IF(B79&lt;=Assumptions!$B$9,"Initial",IF(B79&lt;=Assumptions!$B$9+Assumptions!$B$11,"Option 1","Option 2"))</f>
        <v>Option 2</v>
      </c>
      <c r="D79" s="65">
        <f>IF(A79&lt;=Assumptions!$B$28,1,0)</f>
        <v>0</v>
      </c>
      <c r="E79" s="9">
        <f>Assumptions!$B$6*(1+Assumptions!$B$7)^IF(B79&lt;=Assumptions!$B$9,B79-1,Assumptions!$B$9-1+Assumptions!$B$21*(B79-Assumptions!$B$9))</f>
        <v>38.209673488927997</v>
      </c>
      <c r="F79" s="66">
        <f>E79*Assumptions!$B$5/12*D79</f>
        <v>0</v>
      </c>
      <c r="G79" s="8">
        <f>-IF(A79&lt;=Assumptions!$B$12,F79,0)</f>
        <v>0</v>
      </c>
      <c r="H79" s="8">
        <f>Assumptions!$B$8*(1+Assumptions!$B$20)^(B79-1)*Assumptions!$B$5/12*D79</f>
        <v>0</v>
      </c>
      <c r="I79" s="8">
        <f t="shared" si="7"/>
        <v>0</v>
      </c>
      <c r="J79" s="20">
        <f>1/(1+Assumptions!$B$23/12)^A79</f>
        <v>0.59951769460979498</v>
      </c>
      <c r="K79" s="8">
        <f t="shared" si="8"/>
        <v>0</v>
      </c>
    </row>
    <row r="80" spans="1:11" x14ac:dyDescent="0.2">
      <c r="A80" s="7">
        <v>78</v>
      </c>
      <c r="B80" s="7">
        <f t="shared" si="6"/>
        <v>7</v>
      </c>
      <c r="C80" s="19" t="str">
        <f>IF(B80&lt;=Assumptions!$B$9,"Initial",IF(B80&lt;=Assumptions!$B$9+Assumptions!$B$11,"Option 1","Option 2"))</f>
        <v>Option 2</v>
      </c>
      <c r="D80" s="65">
        <f>IF(A80&lt;=Assumptions!$B$28,1,0)</f>
        <v>0</v>
      </c>
      <c r="E80" s="9">
        <f>Assumptions!$B$6*(1+Assumptions!$B$7)^IF(B80&lt;=Assumptions!$B$9,B80-1,Assumptions!$B$9-1+Assumptions!$B$21*(B80-Assumptions!$B$9))</f>
        <v>38.209673488927997</v>
      </c>
      <c r="F80" s="66">
        <f>E80*Assumptions!$B$5/12*D80</f>
        <v>0</v>
      </c>
      <c r="G80" s="8">
        <f>-IF(A80&lt;=Assumptions!$B$12,F80,0)</f>
        <v>0</v>
      </c>
      <c r="H80" s="8">
        <f>Assumptions!$B$8*(1+Assumptions!$B$20)^(B80-1)*Assumptions!$B$5/12*D80</f>
        <v>0</v>
      </c>
      <c r="I80" s="8">
        <f t="shared" si="7"/>
        <v>0</v>
      </c>
      <c r="J80" s="20">
        <f>1/(1+Assumptions!$B$23/12)^A80</f>
        <v>0.59554737875145203</v>
      </c>
      <c r="K80" s="8">
        <f t="shared" si="8"/>
        <v>0</v>
      </c>
    </row>
    <row r="81" spans="1:11" x14ac:dyDescent="0.2">
      <c r="A81" s="7">
        <v>79</v>
      </c>
      <c r="B81" s="7">
        <f t="shared" si="6"/>
        <v>7</v>
      </c>
      <c r="C81" s="19" t="str">
        <f>IF(B81&lt;=Assumptions!$B$9,"Initial",IF(B81&lt;=Assumptions!$B$9+Assumptions!$B$11,"Option 1","Option 2"))</f>
        <v>Option 2</v>
      </c>
      <c r="D81" s="65">
        <f>IF(A81&lt;=Assumptions!$B$28,1,0)</f>
        <v>0</v>
      </c>
      <c r="E81" s="9">
        <f>Assumptions!$B$6*(1+Assumptions!$B$7)^IF(B81&lt;=Assumptions!$B$9,B81-1,Assumptions!$B$9-1+Assumptions!$B$21*(B81-Assumptions!$B$9))</f>
        <v>38.209673488927997</v>
      </c>
      <c r="F81" s="66">
        <f>E81*Assumptions!$B$5/12*D81</f>
        <v>0</v>
      </c>
      <c r="G81" s="8">
        <f>-IF(A81&lt;=Assumptions!$B$12,F81,0)</f>
        <v>0</v>
      </c>
      <c r="H81" s="8">
        <f>Assumptions!$B$8*(1+Assumptions!$B$20)^(B81-1)*Assumptions!$B$5/12*D81</f>
        <v>0</v>
      </c>
      <c r="I81" s="8">
        <f t="shared" si="7"/>
        <v>0</v>
      </c>
      <c r="J81" s="20">
        <f>1/(1+Assumptions!$B$23/12)^A81</f>
        <v>0.59160335637561468</v>
      </c>
      <c r="K81" s="8">
        <f t="shared" si="8"/>
        <v>0</v>
      </c>
    </row>
    <row r="82" spans="1:11" x14ac:dyDescent="0.2">
      <c r="A82" s="7">
        <v>80</v>
      </c>
      <c r="B82" s="7">
        <f t="shared" si="6"/>
        <v>7</v>
      </c>
      <c r="C82" s="19" t="str">
        <f>IF(B82&lt;=Assumptions!$B$9,"Initial",IF(B82&lt;=Assumptions!$B$9+Assumptions!$B$11,"Option 1","Option 2"))</f>
        <v>Option 2</v>
      </c>
      <c r="D82" s="65">
        <f>IF(A82&lt;=Assumptions!$B$28,1,0)</f>
        <v>0</v>
      </c>
      <c r="E82" s="9">
        <f>Assumptions!$B$6*(1+Assumptions!$B$7)^IF(B82&lt;=Assumptions!$B$9,B82-1,Assumptions!$B$9-1+Assumptions!$B$21*(B82-Assumptions!$B$9))</f>
        <v>38.209673488927997</v>
      </c>
      <c r="F82" s="66">
        <f>E82*Assumptions!$B$5/12*D82</f>
        <v>0</v>
      </c>
      <c r="G82" s="8">
        <f>-IF(A82&lt;=Assumptions!$B$12,F82,0)</f>
        <v>0</v>
      </c>
      <c r="H82" s="8">
        <f>Assumptions!$B$8*(1+Assumptions!$B$20)^(B82-1)*Assumptions!$B$5/12*D82</f>
        <v>0</v>
      </c>
      <c r="I82" s="8">
        <f t="shared" si="7"/>
        <v>0</v>
      </c>
      <c r="J82" s="20">
        <f>1/(1+Assumptions!$B$23/12)^A82</f>
        <v>0.58768545335325961</v>
      </c>
      <c r="K82" s="8">
        <f t="shared" si="8"/>
        <v>0</v>
      </c>
    </row>
    <row r="83" spans="1:11" x14ac:dyDescent="0.2">
      <c r="A83" s="7">
        <v>81</v>
      </c>
      <c r="B83" s="7">
        <f t="shared" si="6"/>
        <v>7</v>
      </c>
      <c r="C83" s="19" t="str">
        <f>IF(B83&lt;=Assumptions!$B$9,"Initial",IF(B83&lt;=Assumptions!$B$9+Assumptions!$B$11,"Option 1","Option 2"))</f>
        <v>Option 2</v>
      </c>
      <c r="D83" s="65">
        <f>IF(A83&lt;=Assumptions!$B$28,1,0)</f>
        <v>0</v>
      </c>
      <c r="E83" s="9">
        <f>Assumptions!$B$6*(1+Assumptions!$B$7)^IF(B83&lt;=Assumptions!$B$9,B83-1,Assumptions!$B$9-1+Assumptions!$B$21*(B83-Assumptions!$B$9))</f>
        <v>38.209673488927997</v>
      </c>
      <c r="F83" s="66">
        <f>E83*Assumptions!$B$5/12*D83</f>
        <v>0</v>
      </c>
      <c r="G83" s="8">
        <f>-IF(A83&lt;=Assumptions!$B$12,F83,0)</f>
        <v>0</v>
      </c>
      <c r="H83" s="8">
        <f>Assumptions!$B$8*(1+Assumptions!$B$20)^(B83-1)*Assumptions!$B$5/12*D83</f>
        <v>0</v>
      </c>
      <c r="I83" s="8">
        <f t="shared" si="7"/>
        <v>0</v>
      </c>
      <c r="J83" s="20">
        <f>1/(1+Assumptions!$B$23/12)^A83</f>
        <v>0.58379349670853597</v>
      </c>
      <c r="K83" s="8">
        <f t="shared" si="8"/>
        <v>0</v>
      </c>
    </row>
    <row r="84" spans="1:11" x14ac:dyDescent="0.2">
      <c r="A84" s="7">
        <v>82</v>
      </c>
      <c r="B84" s="7">
        <f t="shared" si="6"/>
        <v>7</v>
      </c>
      <c r="C84" s="19" t="str">
        <f>IF(B84&lt;=Assumptions!$B$9,"Initial",IF(B84&lt;=Assumptions!$B$9+Assumptions!$B$11,"Option 1","Option 2"))</f>
        <v>Option 2</v>
      </c>
      <c r="D84" s="65">
        <f>IF(A84&lt;=Assumptions!$B$28,1,0)</f>
        <v>0</v>
      </c>
      <c r="E84" s="9">
        <f>Assumptions!$B$6*(1+Assumptions!$B$7)^IF(B84&lt;=Assumptions!$B$9,B84-1,Assumptions!$B$9-1+Assumptions!$B$21*(B84-Assumptions!$B$9))</f>
        <v>38.209673488927997</v>
      </c>
      <c r="F84" s="66">
        <f>E84*Assumptions!$B$5/12*D84</f>
        <v>0</v>
      </c>
      <c r="G84" s="8">
        <f>-IF(A84&lt;=Assumptions!$B$12,F84,0)</f>
        <v>0</v>
      </c>
      <c r="H84" s="8">
        <f>Assumptions!$B$8*(1+Assumptions!$B$20)^(B84-1)*Assumptions!$B$5/12*D84</f>
        <v>0</v>
      </c>
      <c r="I84" s="8">
        <f t="shared" si="7"/>
        <v>0</v>
      </c>
      <c r="J84" s="20">
        <f>1/(1+Assumptions!$B$23/12)^A84</f>
        <v>0.57992731461112845</v>
      </c>
      <c r="K84" s="8">
        <f t="shared" si="8"/>
        <v>0</v>
      </c>
    </row>
    <row r="85" spans="1:11" x14ac:dyDescent="0.2">
      <c r="A85" s="7">
        <v>83</v>
      </c>
      <c r="B85" s="7">
        <f t="shared" si="6"/>
        <v>7</v>
      </c>
      <c r="C85" s="19" t="str">
        <f>IF(B85&lt;=Assumptions!$B$9,"Initial",IF(B85&lt;=Assumptions!$B$9+Assumptions!$B$11,"Option 1","Option 2"))</f>
        <v>Option 2</v>
      </c>
      <c r="D85" s="65">
        <f>IF(A85&lt;=Assumptions!$B$28,1,0)</f>
        <v>0</v>
      </c>
      <c r="E85" s="9">
        <f>Assumptions!$B$6*(1+Assumptions!$B$7)^IF(B85&lt;=Assumptions!$B$9,B85-1,Assumptions!$B$9-1+Assumptions!$B$21*(B85-Assumptions!$B$9))</f>
        <v>38.209673488927997</v>
      </c>
      <c r="F85" s="66">
        <f>E85*Assumptions!$B$5/12*D85</f>
        <v>0</v>
      </c>
      <c r="G85" s="8">
        <f>-IF(A85&lt;=Assumptions!$B$12,F85,0)</f>
        <v>0</v>
      </c>
      <c r="H85" s="8">
        <f>Assumptions!$B$8*(1+Assumptions!$B$20)^(B85-1)*Assumptions!$B$5/12*D85</f>
        <v>0</v>
      </c>
      <c r="I85" s="8">
        <f t="shared" si="7"/>
        <v>0</v>
      </c>
      <c r="J85" s="20">
        <f>1/(1+Assumptions!$B$23/12)^A85</f>
        <v>0.57608673636867069</v>
      </c>
      <c r="K85" s="8">
        <f t="shared" si="8"/>
        <v>0</v>
      </c>
    </row>
    <row r="86" spans="1:11" x14ac:dyDescent="0.2">
      <c r="A86" s="7">
        <v>84</v>
      </c>
      <c r="B86" s="7">
        <f t="shared" si="6"/>
        <v>7</v>
      </c>
      <c r="C86" s="19" t="str">
        <f>IF(B86&lt;=Assumptions!$B$9,"Initial",IF(B86&lt;=Assumptions!$B$9+Assumptions!$B$11,"Option 1","Option 2"))</f>
        <v>Option 2</v>
      </c>
      <c r="D86" s="65">
        <f>IF(A86&lt;=Assumptions!$B$28,1,0)</f>
        <v>0</v>
      </c>
      <c r="E86" s="9">
        <f>Assumptions!$B$6*(1+Assumptions!$B$7)^IF(B86&lt;=Assumptions!$B$9,B86-1,Assumptions!$B$9-1+Assumptions!$B$21*(B86-Assumptions!$B$9))</f>
        <v>38.209673488927997</v>
      </c>
      <c r="F86" s="66">
        <f>E86*Assumptions!$B$5/12*D86</f>
        <v>0</v>
      </c>
      <c r="G86" s="8">
        <f>-IF(A86&lt;=Assumptions!$B$12,F86,0)</f>
        <v>0</v>
      </c>
      <c r="H86" s="8">
        <f>Assumptions!$B$8*(1+Assumptions!$B$20)^(B86-1)*Assumptions!$B$5/12*D86</f>
        <v>0</v>
      </c>
      <c r="I86" s="8">
        <f t="shared" si="7"/>
        <v>0</v>
      </c>
      <c r="J86" s="20">
        <f>1/(1+Assumptions!$B$23/12)^A86</f>
        <v>0.57227159241920944</v>
      </c>
      <c r="K86" s="8">
        <f t="shared" si="8"/>
        <v>0</v>
      </c>
    </row>
    <row r="87" spans="1:11" x14ac:dyDescent="0.2">
      <c r="A87" s="7">
        <v>85</v>
      </c>
      <c r="B87" s="7">
        <f t="shared" si="6"/>
        <v>8</v>
      </c>
      <c r="C87" s="19" t="str">
        <f>IF(B87&lt;=Assumptions!$B$9,"Initial",IF(B87&lt;=Assumptions!$B$9+Assumptions!$B$11,"Option 1","Option 2"))</f>
        <v>Option 2</v>
      </c>
      <c r="D87" s="65">
        <f>IF(A87&lt;=Assumptions!$B$28,1,0)</f>
        <v>0</v>
      </c>
      <c r="E87" s="9">
        <f>Assumptions!$B$6*(1+Assumptions!$B$7)^IF(B87&lt;=Assumptions!$B$9,B87-1,Assumptions!$B$9-1+Assumptions!$B$21*(B87-Assumptions!$B$9))</f>
        <v>39.355963693595839</v>
      </c>
      <c r="F87" s="66">
        <f>E87*Assumptions!$B$5/12*D87</f>
        <v>0</v>
      </c>
      <c r="G87" s="8">
        <f>-IF(A87&lt;=Assumptions!$B$12,F87,0)</f>
        <v>0</v>
      </c>
      <c r="H87" s="8">
        <f>Assumptions!$B$8*(1+Assumptions!$B$20)^(B87-1)*Assumptions!$B$5/12*D87</f>
        <v>0</v>
      </c>
      <c r="I87" s="8">
        <f t="shared" si="7"/>
        <v>0</v>
      </c>
      <c r="J87" s="20">
        <f>1/(1+Assumptions!$B$23/12)^A87</f>
        <v>0.56848171432371797</v>
      </c>
      <c r="K87" s="8">
        <f t="shared" si="8"/>
        <v>0</v>
      </c>
    </row>
    <row r="88" spans="1:11" x14ac:dyDescent="0.2">
      <c r="A88" s="7">
        <v>86</v>
      </c>
      <c r="B88" s="7">
        <f t="shared" si="6"/>
        <v>8</v>
      </c>
      <c r="C88" s="19" t="str">
        <f>IF(B88&lt;=Assumptions!$B$9,"Initial",IF(B88&lt;=Assumptions!$B$9+Assumptions!$B$11,"Option 1","Option 2"))</f>
        <v>Option 2</v>
      </c>
      <c r="D88" s="65">
        <f>IF(A88&lt;=Assumptions!$B$28,1,0)</f>
        <v>0</v>
      </c>
      <c r="E88" s="9">
        <f>Assumptions!$B$6*(1+Assumptions!$B$7)^IF(B88&lt;=Assumptions!$B$9,B88-1,Assumptions!$B$9-1+Assumptions!$B$21*(B88-Assumptions!$B$9))</f>
        <v>39.355963693595839</v>
      </c>
      <c r="F88" s="66">
        <f>E88*Assumptions!$B$5/12*D88</f>
        <v>0</v>
      </c>
      <c r="G88" s="8">
        <f>-IF(A88&lt;=Assumptions!$B$12,F88,0)</f>
        <v>0</v>
      </c>
      <c r="H88" s="8">
        <f>Assumptions!$B$8*(1+Assumptions!$B$20)^(B88-1)*Assumptions!$B$5/12*D88</f>
        <v>0</v>
      </c>
      <c r="I88" s="8">
        <f t="shared" si="7"/>
        <v>0</v>
      </c>
      <c r="J88" s="20">
        <f>1/(1+Assumptions!$B$23/12)^A88</f>
        <v>0.56471693475866025</v>
      </c>
      <c r="K88" s="8">
        <f t="shared" si="8"/>
        <v>0</v>
      </c>
    </row>
    <row r="89" spans="1:11" x14ac:dyDescent="0.2">
      <c r="A89" s="7">
        <v>87</v>
      </c>
      <c r="B89" s="7">
        <f t="shared" si="6"/>
        <v>8</v>
      </c>
      <c r="C89" s="19" t="str">
        <f>IF(B89&lt;=Assumptions!$B$9,"Initial",IF(B89&lt;=Assumptions!$B$9+Assumptions!$B$11,"Option 1","Option 2"))</f>
        <v>Option 2</v>
      </c>
      <c r="D89" s="65">
        <f>IF(A89&lt;=Assumptions!$B$28,1,0)</f>
        <v>0</v>
      </c>
      <c r="E89" s="9">
        <f>Assumptions!$B$6*(1+Assumptions!$B$7)^IF(B89&lt;=Assumptions!$B$9,B89-1,Assumptions!$B$9-1+Assumptions!$B$21*(B89-Assumptions!$B$9))</f>
        <v>39.355963693595839</v>
      </c>
      <c r="F89" s="66">
        <f>E89*Assumptions!$B$5/12*D89</f>
        <v>0</v>
      </c>
      <c r="G89" s="8">
        <f>-IF(A89&lt;=Assumptions!$B$12,F89,0)</f>
        <v>0</v>
      </c>
      <c r="H89" s="8">
        <f>Assumptions!$B$8*(1+Assumptions!$B$20)^(B89-1)*Assumptions!$B$5/12*D89</f>
        <v>0</v>
      </c>
      <c r="I89" s="8">
        <f t="shared" si="7"/>
        <v>0</v>
      </c>
      <c r="J89" s="20">
        <f>1/(1+Assumptions!$B$23/12)^A89</f>
        <v>0.56097708750860298</v>
      </c>
      <c r="K89" s="8">
        <f t="shared" si="8"/>
        <v>0</v>
      </c>
    </row>
    <row r="90" spans="1:11" x14ac:dyDescent="0.2">
      <c r="A90" s="7">
        <v>88</v>
      </c>
      <c r="B90" s="7">
        <f t="shared" si="6"/>
        <v>8</v>
      </c>
      <c r="C90" s="19" t="str">
        <f>IF(B90&lt;=Assumptions!$B$9,"Initial",IF(B90&lt;=Assumptions!$B$9+Assumptions!$B$11,"Option 1","Option 2"))</f>
        <v>Option 2</v>
      </c>
      <c r="D90" s="65">
        <f>IF(A90&lt;=Assumptions!$B$28,1,0)</f>
        <v>0</v>
      </c>
      <c r="E90" s="9">
        <f>Assumptions!$B$6*(1+Assumptions!$B$7)^IF(B90&lt;=Assumptions!$B$9,B90-1,Assumptions!$B$9-1+Assumptions!$B$21*(B90-Assumptions!$B$9))</f>
        <v>39.355963693595839</v>
      </c>
      <c r="F90" s="66">
        <f>E90*Assumptions!$B$5/12*D90</f>
        <v>0</v>
      </c>
      <c r="G90" s="8">
        <f>-IF(A90&lt;=Assumptions!$B$12,F90,0)</f>
        <v>0</v>
      </c>
      <c r="H90" s="8">
        <f>Assumptions!$B$8*(1+Assumptions!$B$20)^(B90-1)*Assumptions!$B$5/12*D90</f>
        <v>0</v>
      </c>
      <c r="I90" s="8">
        <f t="shared" si="7"/>
        <v>0</v>
      </c>
      <c r="J90" s="20">
        <f>1/(1+Assumptions!$B$23/12)^A90</f>
        <v>0.55726200745887711</v>
      </c>
      <c r="K90" s="8">
        <f t="shared" si="8"/>
        <v>0</v>
      </c>
    </row>
    <row r="91" spans="1:11" x14ac:dyDescent="0.2">
      <c r="A91" s="7">
        <v>89</v>
      </c>
      <c r="B91" s="7">
        <f t="shared" si="6"/>
        <v>8</v>
      </c>
      <c r="C91" s="19" t="str">
        <f>IF(B91&lt;=Assumptions!$B$9,"Initial",IF(B91&lt;=Assumptions!$B$9+Assumptions!$B$11,"Option 1","Option 2"))</f>
        <v>Option 2</v>
      </c>
      <c r="D91" s="65">
        <f>IF(A91&lt;=Assumptions!$B$28,1,0)</f>
        <v>0</v>
      </c>
      <c r="E91" s="9">
        <f>Assumptions!$B$6*(1+Assumptions!$B$7)^IF(B91&lt;=Assumptions!$B$9,B91-1,Assumptions!$B$9-1+Assumptions!$B$21*(B91-Assumptions!$B$9))</f>
        <v>39.355963693595839</v>
      </c>
      <c r="F91" s="66">
        <f>E91*Assumptions!$B$5/12*D91</f>
        <v>0</v>
      </c>
      <c r="G91" s="8">
        <f>-IF(A91&lt;=Assumptions!$B$12,F91,0)</f>
        <v>0</v>
      </c>
      <c r="H91" s="8">
        <f>Assumptions!$B$8*(1+Assumptions!$B$20)^(B91-1)*Assumptions!$B$5/12*D91</f>
        <v>0</v>
      </c>
      <c r="I91" s="8">
        <f t="shared" si="7"/>
        <v>0</v>
      </c>
      <c r="J91" s="20">
        <f>1/(1+Assumptions!$B$23/12)^A91</f>
        <v>0.55357153058828856</v>
      </c>
      <c r="K91" s="8">
        <f t="shared" si="8"/>
        <v>0</v>
      </c>
    </row>
    <row r="92" spans="1:11" x14ac:dyDescent="0.2">
      <c r="A92" s="7">
        <v>90</v>
      </c>
      <c r="B92" s="7">
        <f t="shared" si="6"/>
        <v>8</v>
      </c>
      <c r="C92" s="19" t="str">
        <f>IF(B92&lt;=Assumptions!$B$9,"Initial",IF(B92&lt;=Assumptions!$B$9+Assumptions!$B$11,"Option 1","Option 2"))</f>
        <v>Option 2</v>
      </c>
      <c r="D92" s="65">
        <f>IF(A92&lt;=Assumptions!$B$28,1,0)</f>
        <v>0</v>
      </c>
      <c r="E92" s="9">
        <f>Assumptions!$B$6*(1+Assumptions!$B$7)^IF(B92&lt;=Assumptions!$B$9,B92-1,Assumptions!$B$9-1+Assumptions!$B$21*(B92-Assumptions!$B$9))</f>
        <v>39.355963693595839</v>
      </c>
      <c r="F92" s="66">
        <f>E92*Assumptions!$B$5/12*D92</f>
        <v>0</v>
      </c>
      <c r="G92" s="8">
        <f>-IF(A92&lt;=Assumptions!$B$12,F92,0)</f>
        <v>0</v>
      </c>
      <c r="H92" s="8">
        <f>Assumptions!$B$8*(1+Assumptions!$B$20)^(B92-1)*Assumptions!$B$5/12*D92</f>
        <v>0</v>
      </c>
      <c r="I92" s="8">
        <f t="shared" si="7"/>
        <v>0</v>
      </c>
      <c r="J92" s="20">
        <f>1/(1+Assumptions!$B$23/12)^A92</f>
        <v>0.54990549396187605</v>
      </c>
      <c r="K92" s="8">
        <f t="shared" si="8"/>
        <v>0</v>
      </c>
    </row>
    <row r="93" spans="1:11" x14ac:dyDescent="0.2">
      <c r="A93" s="7">
        <v>91</v>
      </c>
      <c r="B93" s="7">
        <f t="shared" si="6"/>
        <v>8</v>
      </c>
      <c r="C93" s="19" t="str">
        <f>IF(B93&lt;=Assumptions!$B$9,"Initial",IF(B93&lt;=Assumptions!$B$9+Assumptions!$B$11,"Option 1","Option 2"))</f>
        <v>Option 2</v>
      </c>
      <c r="D93" s="65">
        <f>IF(A93&lt;=Assumptions!$B$28,1,0)</f>
        <v>0</v>
      </c>
      <c r="E93" s="9">
        <f>Assumptions!$B$6*(1+Assumptions!$B$7)^IF(B93&lt;=Assumptions!$B$9,B93-1,Assumptions!$B$9-1+Assumptions!$B$21*(B93-Assumptions!$B$9))</f>
        <v>39.355963693595839</v>
      </c>
      <c r="F93" s="66">
        <f>E93*Assumptions!$B$5/12*D93</f>
        <v>0</v>
      </c>
      <c r="G93" s="8">
        <f>-IF(A93&lt;=Assumptions!$B$12,F93,0)</f>
        <v>0</v>
      </c>
      <c r="H93" s="8">
        <f>Assumptions!$B$8*(1+Assumptions!$B$20)^(B93-1)*Assumptions!$B$5/12*D93</f>
        <v>0</v>
      </c>
      <c r="I93" s="8">
        <f t="shared" si="7"/>
        <v>0</v>
      </c>
      <c r="J93" s="20">
        <f>1/(1+Assumptions!$B$23/12)^A93</f>
        <v>0.546263735723718</v>
      </c>
      <c r="K93" s="8">
        <f t="shared" si="8"/>
        <v>0</v>
      </c>
    </row>
    <row r="94" spans="1:11" x14ac:dyDescent="0.2">
      <c r="A94" s="7">
        <v>92</v>
      </c>
      <c r="B94" s="7">
        <f t="shared" si="6"/>
        <v>8</v>
      </c>
      <c r="C94" s="19" t="str">
        <f>IF(B94&lt;=Assumptions!$B$9,"Initial",IF(B94&lt;=Assumptions!$B$9+Assumptions!$B$11,"Option 1","Option 2"))</f>
        <v>Option 2</v>
      </c>
      <c r="D94" s="65">
        <f>IF(A94&lt;=Assumptions!$B$28,1,0)</f>
        <v>0</v>
      </c>
      <c r="E94" s="9">
        <f>Assumptions!$B$6*(1+Assumptions!$B$7)^IF(B94&lt;=Assumptions!$B$9,B94-1,Assumptions!$B$9-1+Assumptions!$B$21*(B94-Assumptions!$B$9))</f>
        <v>39.355963693595839</v>
      </c>
      <c r="F94" s="66">
        <f>E94*Assumptions!$B$5/12*D94</f>
        <v>0</v>
      </c>
      <c r="G94" s="8">
        <f>-IF(A94&lt;=Assumptions!$B$12,F94,0)</f>
        <v>0</v>
      </c>
      <c r="H94" s="8">
        <f>Assumptions!$B$8*(1+Assumptions!$B$20)^(B94-1)*Assumptions!$B$5/12*D94</f>
        <v>0</v>
      </c>
      <c r="I94" s="8">
        <f t="shared" si="7"/>
        <v>0</v>
      </c>
      <c r="J94" s="20">
        <f>1/(1+Assumptions!$B$23/12)^A94</f>
        <v>0.54264609508978612</v>
      </c>
      <c r="K94" s="8">
        <f t="shared" si="8"/>
        <v>0</v>
      </c>
    </row>
    <row r="95" spans="1:11" x14ac:dyDescent="0.2">
      <c r="A95" s="7">
        <v>93</v>
      </c>
      <c r="B95" s="7">
        <f t="shared" si="6"/>
        <v>8</v>
      </c>
      <c r="C95" s="19" t="str">
        <f>IF(B95&lt;=Assumptions!$B$9,"Initial",IF(B95&lt;=Assumptions!$B$9+Assumptions!$B$11,"Option 1","Option 2"))</f>
        <v>Option 2</v>
      </c>
      <c r="D95" s="65">
        <f>IF(A95&lt;=Assumptions!$B$28,1,0)</f>
        <v>0</v>
      </c>
      <c r="E95" s="9">
        <f>Assumptions!$B$6*(1+Assumptions!$B$7)^IF(B95&lt;=Assumptions!$B$9,B95-1,Assumptions!$B$9-1+Assumptions!$B$21*(B95-Assumptions!$B$9))</f>
        <v>39.355963693595839</v>
      </c>
      <c r="F95" s="66">
        <f>E95*Assumptions!$B$5/12*D95</f>
        <v>0</v>
      </c>
      <c r="G95" s="8">
        <f>-IF(A95&lt;=Assumptions!$B$12,F95,0)</f>
        <v>0</v>
      </c>
      <c r="H95" s="8">
        <f>Assumptions!$B$8*(1+Assumptions!$B$20)^(B95-1)*Assumptions!$B$5/12*D95</f>
        <v>0</v>
      </c>
      <c r="I95" s="8">
        <f t="shared" si="7"/>
        <v>0</v>
      </c>
      <c r="J95" s="20">
        <f>1/(1+Assumptions!$B$23/12)^A95</f>
        <v>0.53905241234084722</v>
      </c>
      <c r="K95" s="8">
        <f t="shared" si="8"/>
        <v>0</v>
      </c>
    </row>
    <row r="96" spans="1:11" x14ac:dyDescent="0.2">
      <c r="A96" s="7">
        <v>94</v>
      </c>
      <c r="B96" s="7">
        <f t="shared" si="6"/>
        <v>8</v>
      </c>
      <c r="C96" s="19" t="str">
        <f>IF(B96&lt;=Assumptions!$B$9,"Initial",IF(B96&lt;=Assumptions!$B$9+Assumptions!$B$11,"Option 1","Option 2"))</f>
        <v>Option 2</v>
      </c>
      <c r="D96" s="65">
        <f>IF(A96&lt;=Assumptions!$B$28,1,0)</f>
        <v>0</v>
      </c>
      <c r="E96" s="9">
        <f>Assumptions!$B$6*(1+Assumptions!$B$7)^IF(B96&lt;=Assumptions!$B$9,B96-1,Assumptions!$B$9-1+Assumptions!$B$21*(B96-Assumptions!$B$9))</f>
        <v>39.355963693595839</v>
      </c>
      <c r="F96" s="66">
        <f>E96*Assumptions!$B$5/12*D96</f>
        <v>0</v>
      </c>
      <c r="G96" s="8">
        <f>-IF(A96&lt;=Assumptions!$B$12,F96,0)</f>
        <v>0</v>
      </c>
      <c r="H96" s="8">
        <f>Assumptions!$B$8*(1+Assumptions!$B$20)^(B96-1)*Assumptions!$B$5/12*D96</f>
        <v>0</v>
      </c>
      <c r="I96" s="8">
        <f t="shared" si="7"/>
        <v>0</v>
      </c>
      <c r="J96" s="20">
        <f>1/(1+Assumptions!$B$23/12)^A96</f>
        <v>0.53548252881541114</v>
      </c>
      <c r="K96" s="8">
        <f t="shared" si="8"/>
        <v>0</v>
      </c>
    </row>
    <row r="97" spans="1:11" x14ac:dyDescent="0.2">
      <c r="A97" s="7">
        <v>95</v>
      </c>
      <c r="B97" s="7">
        <f t="shared" si="6"/>
        <v>8</v>
      </c>
      <c r="C97" s="19" t="str">
        <f>IF(B97&lt;=Assumptions!$B$9,"Initial",IF(B97&lt;=Assumptions!$B$9+Assumptions!$B$11,"Option 1","Option 2"))</f>
        <v>Option 2</v>
      </c>
      <c r="D97" s="65">
        <f>IF(A97&lt;=Assumptions!$B$28,1,0)</f>
        <v>0</v>
      </c>
      <c r="E97" s="9">
        <f>Assumptions!$B$6*(1+Assumptions!$B$7)^IF(B97&lt;=Assumptions!$B$9,B97-1,Assumptions!$B$9-1+Assumptions!$B$21*(B97-Assumptions!$B$9))</f>
        <v>39.355963693595839</v>
      </c>
      <c r="F97" s="66">
        <f>E97*Assumptions!$B$5/12*D97</f>
        <v>0</v>
      </c>
      <c r="G97" s="8">
        <f>-IF(A97&lt;=Assumptions!$B$12,F97,0)</f>
        <v>0</v>
      </c>
      <c r="H97" s="8">
        <f>Assumptions!$B$8*(1+Assumptions!$B$20)^(B97-1)*Assumptions!$B$5/12*D97</f>
        <v>0</v>
      </c>
      <c r="I97" s="8">
        <f t="shared" si="7"/>
        <v>0</v>
      </c>
      <c r="J97" s="20">
        <f>1/(1+Assumptions!$B$23/12)^A97</f>
        <v>0.53193628690272643</v>
      </c>
      <c r="K97" s="8">
        <f t="shared" si="8"/>
        <v>0</v>
      </c>
    </row>
    <row r="98" spans="1:11" x14ac:dyDescent="0.2">
      <c r="A98" s="7">
        <v>96</v>
      </c>
      <c r="B98" s="7">
        <f t="shared" si="6"/>
        <v>8</v>
      </c>
      <c r="C98" s="19" t="str">
        <f>IF(B98&lt;=Assumptions!$B$9,"Initial",IF(B98&lt;=Assumptions!$B$9+Assumptions!$B$11,"Option 1","Option 2"))</f>
        <v>Option 2</v>
      </c>
      <c r="D98" s="65">
        <f>IF(A98&lt;=Assumptions!$B$28,1,0)</f>
        <v>0</v>
      </c>
      <c r="E98" s="9">
        <f>Assumptions!$B$6*(1+Assumptions!$B$7)^IF(B98&lt;=Assumptions!$B$9,B98-1,Assumptions!$B$9-1+Assumptions!$B$21*(B98-Assumptions!$B$9))</f>
        <v>39.355963693595839</v>
      </c>
      <c r="F98" s="66">
        <f>E98*Assumptions!$B$5/12*D98</f>
        <v>0</v>
      </c>
      <c r="G98" s="8">
        <f>-IF(A98&lt;=Assumptions!$B$12,F98,0)</f>
        <v>0</v>
      </c>
      <c r="H98" s="8">
        <f>Assumptions!$B$8*(1+Assumptions!$B$20)^(B98-1)*Assumptions!$B$5/12*D98</f>
        <v>0</v>
      </c>
      <c r="I98" s="8">
        <f t="shared" si="7"/>
        <v>0</v>
      </c>
      <c r="J98" s="20">
        <f>1/(1+Assumptions!$B$23/12)^A98</f>
        <v>0.52841353003582081</v>
      </c>
      <c r="K98" s="8">
        <f t="shared" si="8"/>
        <v>0</v>
      </c>
    </row>
    <row r="99" spans="1:11" x14ac:dyDescent="0.2">
      <c r="A99" s="7">
        <v>97</v>
      </c>
      <c r="B99" s="7">
        <f t="shared" ref="B99:B130" si="9">ROUNDUP(A99/12,0)</f>
        <v>9</v>
      </c>
      <c r="C99" s="19" t="str">
        <f>IF(B99&lt;=Assumptions!$B$9,"Initial",IF(B99&lt;=Assumptions!$B$9+Assumptions!$B$11,"Option 1","Option 2"))</f>
        <v>Option 2</v>
      </c>
      <c r="D99" s="65">
        <f>IF(A99&lt;=Assumptions!$B$28,1,0)</f>
        <v>0</v>
      </c>
      <c r="E99" s="9">
        <f>Assumptions!$B$6*(1+Assumptions!$B$7)^IF(B99&lt;=Assumptions!$B$9,B99-1,Assumptions!$B$9-1+Assumptions!$B$21*(B99-Assumptions!$B$9))</f>
        <v>40.53664260440371</v>
      </c>
      <c r="F99" s="66">
        <f>E99*Assumptions!$B$5/12*D99</f>
        <v>0</v>
      </c>
      <c r="G99" s="8">
        <f>-IF(A99&lt;=Assumptions!$B$12,F99,0)</f>
        <v>0</v>
      </c>
      <c r="H99" s="8">
        <f>Assumptions!$B$8*(1+Assumptions!$B$20)^(B99-1)*Assumptions!$B$5/12*D99</f>
        <v>0</v>
      </c>
      <c r="I99" s="8">
        <f t="shared" ref="I99:I130" si="10">F99+G99+H99</f>
        <v>0</v>
      </c>
      <c r="J99" s="20">
        <f>1/(1+Assumptions!$B$23/12)^A99</f>
        <v>0.52491410268459038</v>
      </c>
      <c r="K99" s="8">
        <f t="shared" ref="K99:K130" si="11">I99*J99</f>
        <v>0</v>
      </c>
    </row>
    <row r="100" spans="1:11" x14ac:dyDescent="0.2">
      <c r="A100" s="7">
        <v>98</v>
      </c>
      <c r="B100" s="7">
        <f t="shared" si="9"/>
        <v>9</v>
      </c>
      <c r="C100" s="19" t="str">
        <f>IF(B100&lt;=Assumptions!$B$9,"Initial",IF(B100&lt;=Assumptions!$B$9+Assumptions!$B$11,"Option 1","Option 2"))</f>
        <v>Option 2</v>
      </c>
      <c r="D100" s="65">
        <f>IF(A100&lt;=Assumptions!$B$28,1,0)</f>
        <v>0</v>
      </c>
      <c r="E100" s="9">
        <f>Assumptions!$B$6*(1+Assumptions!$B$7)^IF(B100&lt;=Assumptions!$B$9,B100-1,Assumptions!$B$9-1+Assumptions!$B$21*(B100-Assumptions!$B$9))</f>
        <v>40.53664260440371</v>
      </c>
      <c r="F100" s="66">
        <f>E100*Assumptions!$B$5/12*D100</f>
        <v>0</v>
      </c>
      <c r="G100" s="8">
        <f>-IF(A100&lt;=Assumptions!$B$12,F100,0)</f>
        <v>0</v>
      </c>
      <c r="H100" s="8">
        <f>Assumptions!$B$8*(1+Assumptions!$B$20)^(B100-1)*Assumptions!$B$5/12*D100</f>
        <v>0</v>
      </c>
      <c r="I100" s="8">
        <f t="shared" si="10"/>
        <v>0</v>
      </c>
      <c r="J100" s="20">
        <f>1/(1+Assumptions!$B$23/12)^A100</f>
        <v>0.52143785034893075</v>
      </c>
      <c r="K100" s="8">
        <f t="shared" si="11"/>
        <v>0</v>
      </c>
    </row>
    <row r="101" spans="1:11" x14ac:dyDescent="0.2">
      <c r="A101" s="7">
        <v>99</v>
      </c>
      <c r="B101" s="7">
        <f t="shared" si="9"/>
        <v>9</v>
      </c>
      <c r="C101" s="19" t="str">
        <f>IF(B101&lt;=Assumptions!$B$9,"Initial",IF(B101&lt;=Assumptions!$B$9+Assumptions!$B$11,"Option 1","Option 2"))</f>
        <v>Option 2</v>
      </c>
      <c r="D101" s="65">
        <f>IF(A101&lt;=Assumptions!$B$28,1,0)</f>
        <v>0</v>
      </c>
      <c r="E101" s="9">
        <f>Assumptions!$B$6*(1+Assumptions!$B$7)^IF(B101&lt;=Assumptions!$B$9,B101-1,Assumptions!$B$9-1+Assumptions!$B$21*(B101-Assumptions!$B$9))</f>
        <v>40.53664260440371</v>
      </c>
      <c r="F101" s="66">
        <f>E101*Assumptions!$B$5/12*D101</f>
        <v>0</v>
      </c>
      <c r="G101" s="8">
        <f>-IF(A101&lt;=Assumptions!$B$12,F101,0)</f>
        <v>0</v>
      </c>
      <c r="H101" s="8">
        <f>Assumptions!$B$8*(1+Assumptions!$B$20)^(B101-1)*Assumptions!$B$5/12*D101</f>
        <v>0</v>
      </c>
      <c r="I101" s="8">
        <f t="shared" si="10"/>
        <v>0</v>
      </c>
      <c r="J101" s="20">
        <f>1/(1+Assumptions!$B$23/12)^A101</f>
        <v>0.5179846195519181</v>
      </c>
      <c r="K101" s="8">
        <f t="shared" si="11"/>
        <v>0</v>
      </c>
    </row>
    <row r="102" spans="1:11" x14ac:dyDescent="0.2">
      <c r="A102" s="7">
        <v>100</v>
      </c>
      <c r="B102" s="7">
        <f t="shared" si="9"/>
        <v>9</v>
      </c>
      <c r="C102" s="19" t="str">
        <f>IF(B102&lt;=Assumptions!$B$9,"Initial",IF(B102&lt;=Assumptions!$B$9+Assumptions!$B$11,"Option 1","Option 2"))</f>
        <v>Option 2</v>
      </c>
      <c r="D102" s="65">
        <f>IF(A102&lt;=Assumptions!$B$28,1,0)</f>
        <v>0</v>
      </c>
      <c r="E102" s="9">
        <f>Assumptions!$B$6*(1+Assumptions!$B$7)^IF(B102&lt;=Assumptions!$B$9,B102-1,Assumptions!$B$9-1+Assumptions!$B$21*(B102-Assumptions!$B$9))</f>
        <v>40.53664260440371</v>
      </c>
      <c r="F102" s="66">
        <f>E102*Assumptions!$B$5/12*D102</f>
        <v>0</v>
      </c>
      <c r="G102" s="8">
        <f>-IF(A102&lt;=Assumptions!$B$12,F102,0)</f>
        <v>0</v>
      </c>
      <c r="H102" s="8">
        <f>Assumptions!$B$8*(1+Assumptions!$B$20)^(B102-1)*Assumptions!$B$5/12*D102</f>
        <v>0</v>
      </c>
      <c r="I102" s="8">
        <f t="shared" si="10"/>
        <v>0</v>
      </c>
      <c r="J102" s="20">
        <f>1/(1+Assumptions!$B$23/12)^A102</f>
        <v>0.51455425783303121</v>
      </c>
      <c r="K102" s="8">
        <f t="shared" si="11"/>
        <v>0</v>
      </c>
    </row>
    <row r="103" spans="1:11" x14ac:dyDescent="0.2">
      <c r="A103" s="7">
        <v>101</v>
      </c>
      <c r="B103" s="7">
        <f t="shared" si="9"/>
        <v>9</v>
      </c>
      <c r="C103" s="19" t="str">
        <f>IF(B103&lt;=Assumptions!$B$9,"Initial",IF(B103&lt;=Assumptions!$B$9+Assumptions!$B$11,"Option 1","Option 2"))</f>
        <v>Option 2</v>
      </c>
      <c r="D103" s="65">
        <f>IF(A103&lt;=Assumptions!$B$28,1,0)</f>
        <v>0</v>
      </c>
      <c r="E103" s="9">
        <f>Assumptions!$B$6*(1+Assumptions!$B$7)^IF(B103&lt;=Assumptions!$B$9,B103-1,Assumptions!$B$9-1+Assumptions!$B$21*(B103-Assumptions!$B$9))</f>
        <v>40.53664260440371</v>
      </c>
      <c r="F103" s="66">
        <f>E103*Assumptions!$B$5/12*D103</f>
        <v>0</v>
      </c>
      <c r="G103" s="8">
        <f>-IF(A103&lt;=Assumptions!$B$12,F103,0)</f>
        <v>0</v>
      </c>
      <c r="H103" s="8">
        <f>Assumptions!$B$8*(1+Assumptions!$B$20)^(B103-1)*Assumptions!$B$5/12*D103</f>
        <v>0</v>
      </c>
      <c r="I103" s="8">
        <f t="shared" si="10"/>
        <v>0</v>
      </c>
      <c r="J103" s="20">
        <f>1/(1+Assumptions!$B$23/12)^A103</f>
        <v>0.51114661374142178</v>
      </c>
      <c r="K103" s="8">
        <f t="shared" si="11"/>
        <v>0</v>
      </c>
    </row>
    <row r="104" spans="1:11" x14ac:dyDescent="0.2">
      <c r="A104" s="7">
        <v>102</v>
      </c>
      <c r="B104" s="7">
        <f t="shared" si="9"/>
        <v>9</v>
      </c>
      <c r="C104" s="19" t="str">
        <f>IF(B104&lt;=Assumptions!$B$9,"Initial",IF(B104&lt;=Assumptions!$B$9+Assumptions!$B$11,"Option 1","Option 2"))</f>
        <v>Option 2</v>
      </c>
      <c r="D104" s="65">
        <f>IF(A104&lt;=Assumptions!$B$28,1,0)</f>
        <v>0</v>
      </c>
      <c r="E104" s="9">
        <f>Assumptions!$B$6*(1+Assumptions!$B$7)^IF(B104&lt;=Assumptions!$B$9,B104-1,Assumptions!$B$9-1+Assumptions!$B$21*(B104-Assumptions!$B$9))</f>
        <v>40.53664260440371</v>
      </c>
      <c r="F104" s="66">
        <f>E104*Assumptions!$B$5/12*D104</f>
        <v>0</v>
      </c>
      <c r="G104" s="8">
        <f>-IF(A104&lt;=Assumptions!$B$12,F104,0)</f>
        <v>0</v>
      </c>
      <c r="H104" s="8">
        <f>Assumptions!$B$8*(1+Assumptions!$B$20)^(B104-1)*Assumptions!$B$5/12*D104</f>
        <v>0</v>
      </c>
      <c r="I104" s="8">
        <f t="shared" si="10"/>
        <v>0</v>
      </c>
      <c r="J104" s="20">
        <f>1/(1+Assumptions!$B$23/12)^A104</f>
        <v>0.50776153682922687</v>
      </c>
      <c r="K104" s="8">
        <f t="shared" si="11"/>
        <v>0</v>
      </c>
    </row>
    <row r="105" spans="1:11" x14ac:dyDescent="0.2">
      <c r="A105" s="7">
        <v>103</v>
      </c>
      <c r="B105" s="7">
        <f t="shared" si="9"/>
        <v>9</v>
      </c>
      <c r="C105" s="19" t="str">
        <f>IF(B105&lt;=Assumptions!$B$9,"Initial",IF(B105&lt;=Assumptions!$B$9+Assumptions!$B$11,"Option 1","Option 2"))</f>
        <v>Option 2</v>
      </c>
      <c r="D105" s="65">
        <f>IF(A105&lt;=Assumptions!$B$28,1,0)</f>
        <v>0</v>
      </c>
      <c r="E105" s="9">
        <f>Assumptions!$B$6*(1+Assumptions!$B$7)^IF(B105&lt;=Assumptions!$B$9,B105-1,Assumptions!$B$9-1+Assumptions!$B$21*(B105-Assumptions!$B$9))</f>
        <v>40.53664260440371</v>
      </c>
      <c r="F105" s="66">
        <f>E105*Assumptions!$B$5/12*D105</f>
        <v>0</v>
      </c>
      <c r="G105" s="8">
        <f>-IF(A105&lt;=Assumptions!$B$12,F105,0)</f>
        <v>0</v>
      </c>
      <c r="H105" s="8">
        <f>Assumptions!$B$8*(1+Assumptions!$B$20)^(B105-1)*Assumptions!$B$5/12*D105</f>
        <v>0</v>
      </c>
      <c r="I105" s="8">
        <f t="shared" si="10"/>
        <v>0</v>
      </c>
      <c r="J105" s="20">
        <f>1/(1+Assumptions!$B$23/12)^A105</f>
        <v>0.50439887764492741</v>
      </c>
      <c r="K105" s="8">
        <f t="shared" si="11"/>
        <v>0</v>
      </c>
    </row>
    <row r="106" spans="1:11" x14ac:dyDescent="0.2">
      <c r="A106" s="7">
        <v>104</v>
      </c>
      <c r="B106" s="7">
        <f t="shared" si="9"/>
        <v>9</v>
      </c>
      <c r="C106" s="19" t="str">
        <f>IF(B106&lt;=Assumptions!$B$9,"Initial",IF(B106&lt;=Assumptions!$B$9+Assumptions!$B$11,"Option 1","Option 2"))</f>
        <v>Option 2</v>
      </c>
      <c r="D106" s="65">
        <f>IF(A106&lt;=Assumptions!$B$28,1,0)</f>
        <v>0</v>
      </c>
      <c r="E106" s="9">
        <f>Assumptions!$B$6*(1+Assumptions!$B$7)^IF(B106&lt;=Assumptions!$B$9,B106-1,Assumptions!$B$9-1+Assumptions!$B$21*(B106-Assumptions!$B$9))</f>
        <v>40.53664260440371</v>
      </c>
      <c r="F106" s="66">
        <f>E106*Assumptions!$B$5/12*D106</f>
        <v>0</v>
      </c>
      <c r="G106" s="8">
        <f>-IF(A106&lt;=Assumptions!$B$12,F106,0)</f>
        <v>0</v>
      </c>
      <c r="H106" s="8">
        <f>Assumptions!$B$8*(1+Assumptions!$B$20)^(B106-1)*Assumptions!$B$5/12*D106</f>
        <v>0</v>
      </c>
      <c r="I106" s="8">
        <f t="shared" si="10"/>
        <v>0</v>
      </c>
      <c r="J106" s="20">
        <f>1/(1+Assumptions!$B$23/12)^A106</f>
        <v>0.50105848772674921</v>
      </c>
      <c r="K106" s="8">
        <f t="shared" si="11"/>
        <v>0</v>
      </c>
    </row>
    <row r="107" spans="1:11" x14ac:dyDescent="0.2">
      <c r="A107" s="7">
        <v>105</v>
      </c>
      <c r="B107" s="7">
        <f t="shared" si="9"/>
        <v>9</v>
      </c>
      <c r="C107" s="19" t="str">
        <f>IF(B107&lt;=Assumptions!$B$9,"Initial",IF(B107&lt;=Assumptions!$B$9+Assumptions!$B$11,"Option 1","Option 2"))</f>
        <v>Option 2</v>
      </c>
      <c r="D107" s="65">
        <f>IF(A107&lt;=Assumptions!$B$28,1,0)</f>
        <v>0</v>
      </c>
      <c r="E107" s="9">
        <f>Assumptions!$B$6*(1+Assumptions!$B$7)^IF(B107&lt;=Assumptions!$B$9,B107-1,Assumptions!$B$9-1+Assumptions!$B$21*(B107-Assumptions!$B$9))</f>
        <v>40.53664260440371</v>
      </c>
      <c r="F107" s="66">
        <f>E107*Assumptions!$B$5/12*D107</f>
        <v>0</v>
      </c>
      <c r="G107" s="8">
        <f>-IF(A107&lt;=Assumptions!$B$12,F107,0)</f>
        <v>0</v>
      </c>
      <c r="H107" s="8">
        <f>Assumptions!$B$8*(1+Assumptions!$B$20)^(B107-1)*Assumptions!$B$5/12*D107</f>
        <v>0</v>
      </c>
      <c r="I107" s="8">
        <f t="shared" si="10"/>
        <v>0</v>
      </c>
      <c r="J107" s="20">
        <f>1/(1+Assumptions!$B$23/12)^A107</f>
        <v>0.49774021959610854</v>
      </c>
      <c r="K107" s="8">
        <f t="shared" si="11"/>
        <v>0</v>
      </c>
    </row>
    <row r="108" spans="1:11" x14ac:dyDescent="0.2">
      <c r="A108" s="7">
        <v>106</v>
      </c>
      <c r="B108" s="7">
        <f t="shared" si="9"/>
        <v>9</v>
      </c>
      <c r="C108" s="19" t="str">
        <f>IF(B108&lt;=Assumptions!$B$9,"Initial",IF(B108&lt;=Assumptions!$B$9+Assumptions!$B$11,"Option 1","Option 2"))</f>
        <v>Option 2</v>
      </c>
      <c r="D108" s="65">
        <f>IF(A108&lt;=Assumptions!$B$28,1,0)</f>
        <v>0</v>
      </c>
      <c r="E108" s="9">
        <f>Assumptions!$B$6*(1+Assumptions!$B$7)^IF(B108&lt;=Assumptions!$B$9,B108-1,Assumptions!$B$9-1+Assumptions!$B$21*(B108-Assumptions!$B$9))</f>
        <v>40.53664260440371</v>
      </c>
      <c r="F108" s="66">
        <f>E108*Assumptions!$B$5/12*D108</f>
        <v>0</v>
      </c>
      <c r="G108" s="8">
        <f>-IF(A108&lt;=Assumptions!$B$12,F108,0)</f>
        <v>0</v>
      </c>
      <c r="H108" s="8">
        <f>Assumptions!$B$8*(1+Assumptions!$B$20)^(B108-1)*Assumptions!$B$5/12*D108</f>
        <v>0</v>
      </c>
      <c r="I108" s="8">
        <f t="shared" si="10"/>
        <v>0</v>
      </c>
      <c r="J108" s="20">
        <f>1/(1+Assumptions!$B$23/12)^A108</f>
        <v>0.49444392675110116</v>
      </c>
      <c r="K108" s="8">
        <f t="shared" si="11"/>
        <v>0</v>
      </c>
    </row>
    <row r="109" spans="1:11" x14ac:dyDescent="0.2">
      <c r="A109" s="7">
        <v>107</v>
      </c>
      <c r="B109" s="7">
        <f t="shared" si="9"/>
        <v>9</v>
      </c>
      <c r="C109" s="19" t="str">
        <f>IF(B109&lt;=Assumptions!$B$9,"Initial",IF(B109&lt;=Assumptions!$B$9+Assumptions!$B$11,"Option 1","Option 2"))</f>
        <v>Option 2</v>
      </c>
      <c r="D109" s="65">
        <f>IF(A109&lt;=Assumptions!$B$28,1,0)</f>
        <v>0</v>
      </c>
      <c r="E109" s="9">
        <f>Assumptions!$B$6*(1+Assumptions!$B$7)^IF(B109&lt;=Assumptions!$B$9,B109-1,Assumptions!$B$9-1+Assumptions!$B$21*(B109-Assumptions!$B$9))</f>
        <v>40.53664260440371</v>
      </c>
      <c r="F109" s="66">
        <f>E109*Assumptions!$B$5/12*D109</f>
        <v>0</v>
      </c>
      <c r="G109" s="8">
        <f>-IF(A109&lt;=Assumptions!$B$12,F109,0)</f>
        <v>0</v>
      </c>
      <c r="H109" s="8">
        <f>Assumptions!$B$8*(1+Assumptions!$B$20)^(B109-1)*Assumptions!$B$5/12*D109</f>
        <v>0</v>
      </c>
      <c r="I109" s="8">
        <f t="shared" si="10"/>
        <v>0</v>
      </c>
      <c r="J109" s="20">
        <f>1/(1+Assumptions!$B$23/12)^A109</f>
        <v>0.49116946366003422</v>
      </c>
      <c r="K109" s="8">
        <f t="shared" si="11"/>
        <v>0</v>
      </c>
    </row>
    <row r="110" spans="1:11" x14ac:dyDescent="0.2">
      <c r="A110" s="7">
        <v>108</v>
      </c>
      <c r="B110" s="7">
        <f t="shared" si="9"/>
        <v>9</v>
      </c>
      <c r="C110" s="19" t="str">
        <f>IF(B110&lt;=Assumptions!$B$9,"Initial",IF(B110&lt;=Assumptions!$B$9+Assumptions!$B$11,"Option 1","Option 2"))</f>
        <v>Option 2</v>
      </c>
      <c r="D110" s="65">
        <f>IF(A110&lt;=Assumptions!$B$28,1,0)</f>
        <v>0</v>
      </c>
      <c r="E110" s="9">
        <f>Assumptions!$B$6*(1+Assumptions!$B$7)^IF(B110&lt;=Assumptions!$B$9,B110-1,Assumptions!$B$9-1+Assumptions!$B$21*(B110-Assumptions!$B$9))</f>
        <v>40.53664260440371</v>
      </c>
      <c r="F110" s="66">
        <f>E110*Assumptions!$B$5/12*D110</f>
        <v>0</v>
      </c>
      <c r="G110" s="8">
        <f>-IF(A110&lt;=Assumptions!$B$12,F110,0)</f>
        <v>0</v>
      </c>
      <c r="H110" s="8">
        <f>Assumptions!$B$8*(1+Assumptions!$B$20)^(B110-1)*Assumptions!$B$5/12*D110</f>
        <v>0</v>
      </c>
      <c r="I110" s="8">
        <f t="shared" si="10"/>
        <v>0</v>
      </c>
      <c r="J110" s="20">
        <f>1/(1+Assumptions!$B$23/12)^A110</f>
        <v>0.48791668575500097</v>
      </c>
      <c r="K110" s="8">
        <f t="shared" si="11"/>
        <v>0</v>
      </c>
    </row>
    <row r="111" spans="1:11" x14ac:dyDescent="0.2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</row>
    <row r="112" spans="1:11" x14ac:dyDescent="0.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</row>
    <row r="113" spans="1:11" x14ac:dyDescent="0.2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</row>
    <row r="114" spans="1:11" x14ac:dyDescent="0.2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</row>
    <row r="115" spans="1:11" x14ac:dyDescent="0.2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</row>
    <row r="116" spans="1:11" x14ac:dyDescent="0.2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Summary</vt:lpstr>
      <vt:lpstr>Sensitivity Analysis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valahg22@gmail.com</dc:creator>
  <cp:lastModifiedBy>valahg22@gmail.com</cp:lastModifiedBy>
  <dcterms:created xsi:type="dcterms:W3CDTF">2026-10-15T20:35:07Z</dcterms:created>
  <dcterms:modified xsi:type="dcterms:W3CDTF">2026-10-16T13:42:49Z</dcterms:modified>
</cp:coreProperties>
</file>